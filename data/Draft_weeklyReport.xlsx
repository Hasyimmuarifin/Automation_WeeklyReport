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Magang ITM Tbk\Automation\SystemAutomation_WeeklyReport\data\"/>
    </mc:Choice>
  </mc:AlternateContent>
  <xr:revisionPtr revIDLastSave="0" documentId="13_ncr:1_{687E0EB7-2AE7-490C-BB5E-6CBC4F612C35}" xr6:coauthVersionLast="45" xr6:coauthVersionMax="45" xr10:uidLastSave="{00000000-0000-0000-0000-000000000000}"/>
  <bookViews>
    <workbookView xWindow="4692" yWindow="1224" windowWidth="18348" windowHeight="12456" xr2:uid="{00000000-000D-0000-FFFF-FFFF00000000}"/>
  </bookViews>
  <sheets>
    <sheet name="ITM Summary" sheetId="1" r:id="rId1"/>
    <sheet name="Month 1" sheetId="2" r:id="rId2"/>
    <sheet name="Month 2" sheetId="3" r:id="rId3"/>
    <sheet name="Month 3" sheetId="4" r:id="rId4"/>
    <sheet name="Month 4" sheetId="5" r:id="rId5"/>
    <sheet name="Month 5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10">'[2]Platinum Cstmr Performance 2010'!$C$58</definedName>
    <definedName name="_Chubu2">[1]Validation!$A$6</definedName>
    <definedName name="_Chubu3">[1]Validation!$A$7</definedName>
    <definedName name="_CHUBU4">'[2]Platinum Cstmr Performance 2010'!$C$21</definedName>
    <definedName name="_CHUBU5">'[2]Platinum Cstmr Performance 2010'!$C$25</definedName>
    <definedName name="_CHUBU6">'[2]Platinum Cstmr Performance 2010'!$C$34</definedName>
    <definedName name="_CHUBU7">'[2]Platinum Cstmr Performance 2010'!$C$44</definedName>
    <definedName name="_CHUBU8">'[2]Platinum Cstmr Performance 2010'!$C$49</definedName>
    <definedName name="_CHUBU9">'[2]Platinum Cstmr Performance 2010'!$C$57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10">'[2]Platinum Cstmr Performance 2010'!$C$48</definedName>
    <definedName name="_ENEL11">'[2]Platinum Cstmr Performance 2010'!$C$52</definedName>
    <definedName name="_ENEL12">'[2]Platinum Cstmr Performance 2010'!$C$59</definedName>
    <definedName name="_ENEL13">'[2]Platinum Cstmr Performance 2010'!$C$67</definedName>
    <definedName name="_ENEL2">'[2]Platinum Cstmr Performance 2010'!$C$12</definedName>
    <definedName name="_ENEL3">'[2]Platinum Cstmr Performance 2010'!$C$15</definedName>
    <definedName name="_ENEL4">'[2]Platinum Cstmr Performance 2010'!$C$20</definedName>
    <definedName name="_ENEL5">'[2]Platinum Cstmr Performance 2010'!$C$22</definedName>
    <definedName name="_ENEL6">'[2]Platinum Cstmr Performance 2010'!$C$29</definedName>
    <definedName name="_ENEL7">'[2]Platinum Cstmr Performance 2010'!$C$33</definedName>
    <definedName name="_ENEL8">'[2]Platinum Cstmr Performance 2010'!$C$39</definedName>
    <definedName name="_ENEL9">'[2]Platinum Cstmr Performance 2010'!$C$43</definedName>
    <definedName name="_ENELP1">'[1]Enel '!$V$264</definedName>
    <definedName name="_ENELP2">'[1]Enel '!$V$265</definedName>
    <definedName name="_EPDC">[1]Validation!$A$8</definedName>
    <definedName name="_EPDC1">'[2]Platinum Cstmr Performance 2010'!$C$17</definedName>
    <definedName name="_EPDC2">'[2]Platinum Cstmr Performance 2010'!$C$24</definedName>
    <definedName name="_EPDC3">'[2]Platinum Cstmr Performance 2010'!$C$38</definedName>
    <definedName name="_EPDC4">'[2]Platinum Cstmr Performance 2010'!$C$50</definedName>
    <definedName name="_EPDC5">'[2]Platinum Cstmr Performance 2010'!$C$69</definedName>
    <definedName name="_EPDC6" localSheetId="0">'[2]Platinum Cstmr Performance 2010'!#REF!</definedName>
    <definedName name="_EPDC6">'[2]Platinum Cstmr Performance 2010'!#REF!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10">'[2]Platinum Cstmr Performance 2010'!$C$42</definedName>
    <definedName name="_FORMOSA11">'[2]Platinum Cstmr Performance 2010'!$C$51</definedName>
    <definedName name="_FORMOSA12">'[2]Platinum Cstmr Performance 2010'!$C$53</definedName>
    <definedName name="_FORMOSA13">'[2]Platinum Cstmr Performance 2010'!$C$54</definedName>
    <definedName name="_FORMOSA14">'[2]Platinum Cstmr Performance 2010'!$C$60</definedName>
    <definedName name="_FORMOSA15">'[2]Platinum Cstmr Performance 2010'!$C$61</definedName>
    <definedName name="_FORMOSA16">'[2]Platinum Cstmr Performance 2010'!$C$64</definedName>
    <definedName name="_FORMOSA17">'[2]Platinum Cstmr Performance 2010'!$C$66</definedName>
    <definedName name="_FORMOSA18">'[2]Platinum Cstmr Performance 2010'!$C$68</definedName>
    <definedName name="_Formosa2">[1]Validation!$A$16</definedName>
    <definedName name="_FORMOSA3">'[2]Platinum Cstmr Performance 2010'!$C$23</definedName>
    <definedName name="_FORMOSA4">'[2]Platinum Cstmr Performance 2010'!$C$28</definedName>
    <definedName name="_FORMOSA5">'[2]Platinum Cstmr Performance 2010'!$C$30</definedName>
    <definedName name="_FORMOSA6">'[2]Platinum Cstmr Performance 2010'!$C$32</definedName>
    <definedName name="_FORMOSA7">'[2]Platinum Cstmr Performance 2010'!$C$37</definedName>
    <definedName name="_FORMOSA8">'[2]Platinum Cstmr Performance 2010'!$C$40</definedName>
    <definedName name="_FORMOSA9">'[2]Platinum Cstmr Performance 2010'!$C$41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OPING1">'[2]Platinum Cstmr Performance 2010'!$C$11</definedName>
    <definedName name="_HOPING2">'[2]Platinum Cstmr Performance 2010'!$C$31</definedName>
    <definedName name="_HOPING3">'[2]Platinum Cstmr Performance 2010'!$C$45</definedName>
    <definedName name="_HOPING4">'[2]Platinum Cstmr Performance 2010'!$C$65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 localSheetId="0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0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b" localSheetId="0">'[3]MTD OB Forecasting'!#REF!</definedName>
    <definedName name="ab">'[3]MTD OB Forecasting'!#REF!</definedName>
    <definedName name="Act_Cost">[4]Data!$B$316:$AH$324</definedName>
    <definedName name="ACTHAUL">'[5]HAUL C1,C2,C3'!$B$9:$BJ$41</definedName>
    <definedName name="ACTHAUL2">'[5]HAUL C1,C2,C3'!$B$45:$BK$82</definedName>
    <definedName name="ACTHAUL3">'[5]HAUL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 localSheetId="0">'[6]MTD OB Forecasting'!#REF!</definedName>
    <definedName name="Anas_f">'[6]MTD OB Forecasting'!#REF!</definedName>
    <definedName name="ance" localSheetId="0">'[6]MTD OB Forecasting'!#REF!</definedName>
    <definedName name="ance">'[6]MTD OB Forecasting'!#REF!</definedName>
    <definedName name="anscount" hidden="1">6</definedName>
    <definedName name="anto" localSheetId="0">'[6]MTD OB Forecasting'!#REF!</definedName>
    <definedName name="anto">'[6]MTD OB Forecasting'!#REF!</definedName>
    <definedName name="anto1" localSheetId="0">'[6]MTD OB Forecasting'!#REF!</definedName>
    <definedName name="anto1">'[6]MTD OB Forecasting'!#REF!</definedName>
    <definedName name="ARQ" localSheetId="0">#REF!</definedName>
    <definedName name="ARQ">#REF!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0">#REF!</definedName>
    <definedName name="b">#REF!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[7]BEK!$A$1:$T$56</definedName>
    <definedName name="Bharinto" localSheetId="0">Business_Unit</definedName>
    <definedName name="Bharinto" localSheetId="2">Business_Unit</definedName>
    <definedName name="Bharinto" localSheetId="5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'[7]Budget &amp; Outlook'!$E$5:$R$42</definedName>
    <definedName name="bulanan">[8]Database!$AN$1:$BY$473</definedName>
    <definedName name="BusinessUnit">[9]!Business_Unit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heckboxlink" localSheetId="0">#REF!</definedName>
    <definedName name="Checkboxlink">#REF!</definedName>
    <definedName name="CLASSIFICATION">'[10]CRM DATABASE 2015'!$E$9:$E$247</definedName>
    <definedName name="Company">[9]!Company</definedName>
    <definedName name="Corective" localSheetId="0">[11]Crushing!#REF!</definedName>
    <definedName name="Corective">[11]Crushing!#REF!</definedName>
    <definedName name="COS" localSheetId="0">#REF!</definedName>
    <definedName name="COS">#REF!</definedName>
    <definedName name="CostCenter">[9]!Cost_Center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rrency">[12]!CurrencyTable[UNIT]</definedName>
    <definedName name="CUSTOMER">[13]dBase!$C$2:$C$4381</definedName>
    <definedName name="CustomerCode">[14]Database!$B$11:$B$59933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ily" localSheetId="0">#REF!</definedName>
    <definedName name="Daily">#REF!</definedName>
    <definedName name="DATA_ASAL" localSheetId="0">#REF!</definedName>
    <definedName name="DATA_ASAL">#REF!</definedName>
    <definedName name="DATA_ASAL_10">[15]HOURLY!$B$1:$AA$833</definedName>
    <definedName name="DATA_ASAL_17">[15]HOURLY!$B$1:$AA$833</definedName>
    <definedName name="DATA_ASAL_19">[15]HOURLY!$B$1:$AA$833</definedName>
    <definedName name="DATA_ASAL_20">[15]HOURLY!$B$1:$AA$833</definedName>
    <definedName name="DATA_ASAL_3">[15]HOURLY!$B$1:$AA$833</definedName>
    <definedName name="DATA_ASAL_3_1">[15]HOURLY!$B$1:$AA$833</definedName>
    <definedName name="DATA_ASAL_4">[15]HOURLY!$B$1:$AA$833</definedName>
    <definedName name="DATA_ASAL_6">[15]HOURLY!$B$1:$AA$833</definedName>
    <definedName name="DATA_ASAL_6_1">[15]HOURLY!$B$1:$AA$833</definedName>
    <definedName name="DATA_ASAL_7">[15]HOURLY!$B$1:$AA$833</definedName>
    <definedName name="DATA_ASAL_7_1">[15]HOURLY!$B$1:$AA$833</definedName>
    <definedName name="DATA_ASAL_8">[15]HOURLY!$B$1:$AA$833</definedName>
    <definedName name="DATA_ASAL_9">[15]HOURLY!$B$1:$AA$833</definedName>
    <definedName name="Data_Plan">[16]summary!$B$12:$AN$42</definedName>
    <definedName name="Data_Plan_1">[16]summary!$B$12:$AN$42</definedName>
    <definedName name="Data_Plan_1_1">[16]summary!$B$12:$AN$42</definedName>
    <definedName name="Data_Plan_10">[17]summary!$B$12:$AN$42</definedName>
    <definedName name="Data_Plan_11">[16]summary!$B$12:$AN$42</definedName>
    <definedName name="Data_Plan_13">[16]summary!$B$12:$AN$42</definedName>
    <definedName name="Data_Plan_16">[16]summary!$B$12:$AN$42</definedName>
    <definedName name="Data_Plan_17">[18]summary!$B$12:$AN$42</definedName>
    <definedName name="Data_Plan_19">[19]summary!$B$12:$AN$42</definedName>
    <definedName name="Data_Plan_2">[16]summary!$B$12:$AN$42</definedName>
    <definedName name="Data_Plan_2_1">[16]summary!$B$12:$AN$42</definedName>
    <definedName name="Data_Plan_20">[20]summary!$B$12:$AN$42</definedName>
    <definedName name="Data_Plan_3">[21]summary!$B$12:$AN$42</definedName>
    <definedName name="Data_Plan_3_1">[21]summary!$B$12:$AN$42</definedName>
    <definedName name="Data_Plan_4">[21]summary!$B$12:$AN$42</definedName>
    <definedName name="Data_Plan_6">[21]summary!$B$12:$AN$42</definedName>
    <definedName name="Data_Plan_6_1">[18]summary!$B$12:$AN$42</definedName>
    <definedName name="Data_Plan_7">[21]summary!$B$12:$AN$42</definedName>
    <definedName name="Data_Plan_7_1">[17]summary!$B$12:$AN$42</definedName>
    <definedName name="Data_Plan_8">[18]summary!$B$12:$AN$42</definedName>
    <definedName name="Data_Plan_9">[18]summary!$B$12:$AN$42</definedName>
    <definedName name="Dataprm">'[22]Summ PRM'!$C$6:$BM$108</definedName>
    <definedName name="Date">[23]Detail_Code!$O$4:$O$71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ELAY">[23]Detail_Code!$O$4:$O$71</definedName>
    <definedName name="DF" localSheetId="0">#REF!</definedName>
    <definedName name="DF">#REF!</definedName>
    <definedName name="dfm" localSheetId="0">'[3]MTD OB Forecasting'!#REF!</definedName>
    <definedName name="dfm">'[3]MTD OB Forecasting'!#REF!</definedName>
    <definedName name="DIST">[24]Run!$E$5:$I$30</definedName>
    <definedName name="DIST_1">[24]Run!$E$5:$I$30</definedName>
    <definedName name="DIST_1_1">[24]Run!$E$5:$I$30</definedName>
    <definedName name="DIST_10">[25]Run!$E$5:$I$30</definedName>
    <definedName name="DIST_11">[24]Run!$E$5:$I$30</definedName>
    <definedName name="DIST_13">[24]Run!$E$5:$I$30</definedName>
    <definedName name="DIST_16">[24]Run!$E$5:$I$30</definedName>
    <definedName name="DIST_17">[26]Run!$E$5:$I$30</definedName>
    <definedName name="DIST_19">[27]Run!$E$5:$I$30</definedName>
    <definedName name="DIST_2">[24]Run!$E$5:$I$30</definedName>
    <definedName name="DIST_2_1">[24]Run!$E$5:$I$30</definedName>
    <definedName name="DIST_20">[28]Run!$E$5:$I$30</definedName>
    <definedName name="DIST_3">[29]Run!$E$5:$I$30</definedName>
    <definedName name="DIST_3_1">[29]Run!$E$5:$I$30</definedName>
    <definedName name="DIST_4">[29]Run!$E$5:$I$30</definedName>
    <definedName name="DIST_6">[29]Run!$E$5:$I$30</definedName>
    <definedName name="DIST_6_1">[26]Run!$E$5:$I$30</definedName>
    <definedName name="DIST_7">[29]Run!$E$5:$I$30</definedName>
    <definedName name="DIST_7_1">[25]Run!$E$5:$I$30</definedName>
    <definedName name="DIST_8">[26]Run!$E$5:$I$30</definedName>
    <definedName name="DIST_9">[26]Run!$E$5:$I$30</definedName>
    <definedName name="DISTANCE">[30]Run!$E$5:$I$31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[31]ACUM!$ED$34:$FJ$57</definedName>
    <definedName name="DS" localSheetId="0">#REF!</definedName>
    <definedName name="DS">#REF!</definedName>
    <definedName name="DUMPBIN">'[5]HAUL C1,C2,C3'!$BL$7:$BM$41</definedName>
    <definedName name="DUMPBIN1">'[5]HAUL C1,C2,C3'!$V$48:$W$82</definedName>
    <definedName name="DupeLink">[32]CheckBoxes!$G$1</definedName>
    <definedName name="e" hidden="1">{#N/A,#N/A,FALSE,"QR";#N/A,#N/A,FALSE,"R02";#N/A,#N/A,FALSE,"R04";#N/A,#N/A,FALSE,"R05";#N/A,#N/A,FALSE,"R08"}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PDC" localSheetId="0">'[2]Platinum Cstmr Performance 2010'!#REF!</definedName>
    <definedName name="EPDC">'[2]Platinum Cstmr Performance 2010'!#REF!</definedName>
    <definedName name="eqe" localSheetId="0">#REF!</definedName>
    <definedName name="eqe">#REF!</definedName>
    <definedName name="esa">[33]Project!$A$3:$A$1003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 localSheetId="0">'[6]MTD OB Forecasting'!#REF!</definedName>
    <definedName name="excel">'[6]MTD OB Forecasting'!#REF!</definedName>
    <definedName name="Excel_01" localSheetId="0">'[3]MTD OB Forecasting'!#REF!</definedName>
    <definedName name="Excel_01">'[3]MTD OB Forecasting'!#REF!</definedName>
    <definedName name="excel_02" localSheetId="0">'[3]MTD OB Forecasting'!#REF!</definedName>
    <definedName name="excel_02">'[3]MTD OB Forecasting'!#REF!</definedName>
    <definedName name="Excel_BuiltIn__FilterDatabase_1" localSheetId="0">#REF!</definedName>
    <definedName name="Excel_BuiltIn__FilterDatabase_1">#REF!</definedName>
    <definedName name="Excel_BuiltIn__FilterDatabase_1_1">[34]Project!$Q$7:$Q$10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 localSheetId="0">'[6]MTD OB Forecasting'!#REF!</definedName>
    <definedName name="Excel_BuiltIn_Print_Area_10">'[6]MTD OB Forecasting'!#REF!</definedName>
    <definedName name="Excel_BuiltIn_Print_Area_10_1" localSheetId="0">'[6]MTD OB Forecasting'!#REF!</definedName>
    <definedName name="Excel_BuiltIn_Print_Area_10_1">'[6]MTD OB Forecasting'!#REF!</definedName>
    <definedName name="Excel_BuiltIn_Print_Area_10_20" localSheetId="0">'[3]MTD OB Forecasting'!#REF!</definedName>
    <definedName name="Excel_BuiltIn_Print_Area_10_20">'[3]MTD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[9]!Exchange_Code</definedName>
    <definedName name="ExchangeRate">'[35]Detail Exp.'!$Z$3</definedName>
    <definedName name="f" hidden="1">{#N/A,#N/A,FALSE,"M06";#N/A,#N/A,FALSE,"M07"}</definedName>
    <definedName name="FD" localSheetId="0">#REF!</definedName>
    <definedName name="FD">#REF!</definedName>
    <definedName name="Feb" localSheetId="0">#REF!</definedName>
    <definedName name="Feb">#REF!</definedName>
    <definedName name="FF" localSheetId="0">#REF!</definedName>
    <definedName name="FF">#REF!</definedName>
    <definedName name="ffff" localSheetId="0">#REF!</definedName>
    <definedName name="ffff">#REF!</definedName>
    <definedName name="First" localSheetId="0">#REF!</definedName>
    <definedName name="First">#REF!</definedName>
    <definedName name="fs" localSheetId="0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hidden="1">{#N/A,#N/A,FALSE,"M01";#N/A,#N/A,FALSE,"M02";#N/A,#N/A,FALSE,"M03";#N/A,#N/A,FALSE,"M04";#N/A,#N/A,FALSE,"M05";#N/A,#N/A,FALSE,"M08"}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OLD">#REF!</definedName>
    <definedName name="GT" localSheetId="0">#REF!</definedName>
    <definedName name="GT">#REF!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'[5]OB PLAN'!$B$46:$Q$79</definedName>
    <definedName name="HC" localSheetId="0">#REF!</definedName>
    <definedName name="HC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[4]Data!$B$212:$AG$243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[4]Data!$B$139:$AG$144</definedName>
    <definedName name="IMM">[7]IMM!$A$2:$Y$60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[13]dBase!$BA$2:$BA$4381</definedName>
    <definedName name="ITMBONUS1">[13]dBase!$AZ$2:$AZ$4381</definedName>
    <definedName name="itoy" hidden="1">{"Valuation",#N/A,TRUE,"Valuation Summary";"Financial Statements",#N/A,TRUE,"Results";"Results",#N/A,TRUE,"Results";"Ratios",#N/A,TRUE,"Results";"P2 Summary",#N/A,TRUE,"Results"}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0">'[6]MTD OB Forecasting'!#REF!</definedName>
    <definedName name="jahsdkhjk">'[6]MTD OB Forecasting'!#REF!</definedName>
    <definedName name="JBG">[7]JBG!$B$3:$AK$87</definedName>
    <definedName name="jigsaw" localSheetId="0">#REF!</definedName>
    <definedName name="jigsaw">#REF!</definedName>
    <definedName name="jk" localSheetId="0">'[6]MTD OB Forecasting'!#REF!</definedName>
    <definedName name="jk">'[6]MTD OB Forecasting'!#REF!</definedName>
    <definedName name="Jum_Unit">[4]Data!$B$125:$AG$135</definedName>
    <definedName name="K" localSheetId="0">#REF!</definedName>
    <definedName name="K">#REF!</definedName>
    <definedName name="Kilowatt" localSheetId="0">#REF!</definedName>
    <definedName name="Kilowatt">#REF!</definedName>
    <definedName name="kj" localSheetId="0">'[6]MTD OB Forecasting'!#REF!</definedName>
    <definedName name="kj">'[6]MTD OB Forecasting'!#REF!</definedName>
    <definedName name="kl" localSheetId="0">'[3]MTD OB Forecasting'!#REF!</definedName>
    <definedName name="kl">'[3]MTD OB Forecasting'!#REF!</definedName>
    <definedName name="klj" localSheetId="0">'[6]MTD OB Forecasting'!#REF!</definedName>
    <definedName name="klj">'[6]MTD OB Forecasting'!#REF!</definedName>
    <definedName name="Konversi">'[4]Konversi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 localSheetId="0">'[6]MTD OB Forecasting'!#REF!</definedName>
    <definedName name="kris">'[6]MTD OB Forecasting'!#REF!</definedName>
    <definedName name="kristisnto" localSheetId="0">'[3]MTD OB Forecasting'!#REF!</definedName>
    <definedName name="kristisnto">'[3]MTD OB Forecasting'!#REF!</definedName>
    <definedName name="KTD">[7]EMB!$A$4:$AX$55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[36]LIST!$C$3:$AC$438</definedName>
    <definedName name="LIST_20">[37]LIST!$C$3:$AC$438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ainmechine" localSheetId="0">#REF!</definedName>
    <definedName name="Mainmechin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[31]ACUM!$ED$94:$FJ$117</definedName>
    <definedName name="MONTH">[13]dBase!$BE$2:$BE$4381</definedName>
    <definedName name="msy" localSheetId="0">[38]Adjust!#REF!</definedName>
    <definedName name="msy">[38]Adjust!#REF!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[39]sum_MSY!$DL$7:$DM$21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0">'[6]MTD OB Forecasting'!#REF!</definedName>
    <definedName name="Nce">'[6]MTD OB Forecasting'!#REF!</definedName>
    <definedName name="nhg" localSheetId="0">'[3]MTD OB Forecasting'!#REF!</definedName>
    <definedName name="nhg">'[3]MTD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[9]!Exchange_Code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[36]LIST!$B$4:$AE$437</definedName>
    <definedName name="NOM_20">[37]LIST!$B$4:$AE$437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Nov" localSheetId="0">#REF!</definedName>
    <definedName name="Nov">#REF!</definedName>
    <definedName name="O" localSheetId="0">#REF!</definedName>
    <definedName name="O">#REF!</definedName>
    <definedName name="OB" localSheetId="0">#REF!</definedName>
    <definedName name="OB">#REF!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[40]bantuan!$B$2:$C$30</definedName>
    <definedName name="OPT_GL">[41]OPT_GL!$B$4:$S$33</definedName>
    <definedName name="OPT_GL_1">[41]OPT_GL!$B$4:$S$33</definedName>
    <definedName name="OPT_GL_1_1">[41]OPT_GL!$B$4:$S$33</definedName>
    <definedName name="OPT_GL_11">[41]OPT_GL!$B$4:$S$33</definedName>
    <definedName name="OPT_GL_11_1">[41]OPT_GL!$B$4:$S$33</definedName>
    <definedName name="OPT_GL_12">[41]OPT_GL!$B$4:$S$33</definedName>
    <definedName name="OPT_GL_13">[41]OPT_GL!$B$4:$S$33</definedName>
    <definedName name="OPT_GL_16">[41]OPT_GL!$B$4:$S$33</definedName>
    <definedName name="OPT_GL_17">[41]OPT_GL!$B$4:$S$33</definedName>
    <definedName name="OPT_GL_19">[41]OPT_GL!$B$4:$S$33</definedName>
    <definedName name="OPT_GL_2">[41]OPT_GL!$B$4:$S$33</definedName>
    <definedName name="OPT_GL_2_1">[41]OPT_GL!$B$4:$S$33</definedName>
    <definedName name="OPT_GL_20">[41]OPT_GL!$B$4:$S$33</definedName>
    <definedName name="OPT_GL_6">[41]OPT_GL!$B$4:$S$33</definedName>
    <definedName name="OPT_GL_8">[41]OPT_GL!$B$4:$S$33</definedName>
    <definedName name="OPT_GL_8_1">[41]OPT_GL!$B$4:$S$33</definedName>
    <definedName name="OPT_GL_9">[41]OPT_GL!$B$4:$S$33</definedName>
    <definedName name="OPT_GL_9_1">[41]OPT_GL!$B$4:$S$33</definedName>
    <definedName name="ORE" localSheetId="0">#REF!</definedName>
    <definedName name="ORE">#REF!</definedName>
    <definedName name="OTHERS">#REF!</definedName>
    <definedName name="Outlook">'[7]Budget &amp; Outlook'!$T$5:$AG$41</definedName>
    <definedName name="P" localSheetId="0">#REF!</definedName>
    <definedName name="P">#REF!</definedName>
    <definedName name="PA_Actual">[4]Data!$B$86:$AG$95</definedName>
    <definedName name="PA_Plan">[4]Data!$B$73:$AG$82</definedName>
    <definedName name="paijo" localSheetId="0">'[3]MTD OB Forecasting'!#REF!</definedName>
    <definedName name="paijo">'[3]MTD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[13]dBonus!$C$7:$J$73</definedName>
    <definedName name="pit_10" localSheetId="0">'[6]MTD OB Forecasting'!#REF!</definedName>
    <definedName name="pit_10">'[6]MTD OB Forecasting'!#REF!</definedName>
    <definedName name="PJBG" localSheetId="0">#REF!</definedName>
    <definedName name="PJBG">#REF!</definedName>
    <definedName name="Plan">[42]Plan!$A$3:$A$187</definedName>
    <definedName name="PLAN_1">[43]SUM!$B$34:$AB$58</definedName>
    <definedName name="PLAN_1_1">[43]SUM!$B$34:$AB$58</definedName>
    <definedName name="PLAN_11">[43]SUM!$B$34:$AB$58</definedName>
    <definedName name="PLAN_11_1">[43]SUM!$B$34:$AB$58</definedName>
    <definedName name="PLAN_12">[43]SUM!$B$34:$AB$58</definedName>
    <definedName name="PLAN_13">[43]SUM!$B$34:$AB$58</definedName>
    <definedName name="PLAN_16">[43]SUM!$B$34:$AB$58</definedName>
    <definedName name="PLAN_17">[43]SUM!$B$34:$AB$58</definedName>
    <definedName name="PLAN_19">[43]SUM!$B$34:$AB$58</definedName>
    <definedName name="PLAN_2">[43]SUM!$B$34:$AB$58</definedName>
    <definedName name="PLAN_2_1">[43]SUM!$B$34:$AB$58</definedName>
    <definedName name="PLAN_20">[43]SUM!$B$34:$AB$58</definedName>
    <definedName name="PLAN_6">[43]SUM!$B$34:$AB$58</definedName>
    <definedName name="PLAN_8">[43]SUM!$B$34:$AB$58</definedName>
    <definedName name="PLAN_8_1">[43]SUM!$B$34:$AB$58</definedName>
    <definedName name="PLAN_9">[43]SUM!$B$34:$AB$58</definedName>
    <definedName name="PLAN_9_1">[43]SUM!$B$34:$AB$58</definedName>
    <definedName name="PLAN_DAILY">'[44]Daily Plan'!$BH$8:$CA$33</definedName>
    <definedName name="PLAN_MONTHLY">[45]summary!$B$12:$AO$45</definedName>
    <definedName name="PLAN_MONTHLY_1">[45]summary!$B$12:$AO$45</definedName>
    <definedName name="PLAN_MONTHLY_1_1">[45]summary!$B$12:$AO$45</definedName>
    <definedName name="PLAN_MONTHLY_10">[46]summary!$B$12:$AO$45</definedName>
    <definedName name="PLAN_MONTHLY_11">[45]summary!$B$12:$AO$45</definedName>
    <definedName name="PLAN_MONTHLY_13">[45]summary!$B$12:$AO$45</definedName>
    <definedName name="PLAN_MONTHLY_16">[45]summary!$B$12:$AO$45</definedName>
    <definedName name="PLAN_MONTHLY_17">[47]summary!$B$12:$AO$45</definedName>
    <definedName name="PLAN_MONTHLY_19">[19]summary!$B$12:$AO$45</definedName>
    <definedName name="PLAN_MONTHLY_2">[45]summary!$B$12:$AO$45</definedName>
    <definedName name="PLAN_MONTHLY_2_1">[45]summary!$B$12:$AO$45</definedName>
    <definedName name="PLAN_MONTHLY_20">[48]summary!$B$12:$AO$45</definedName>
    <definedName name="PLAN_MONTHLY_3">[49]summary!$B$12:$AO$45</definedName>
    <definedName name="PLAN_MONTHLY_3_1">[49]summary!$B$12:$AO$45</definedName>
    <definedName name="PLAN_MONTHLY_4">[49]summary!$B$12:$AO$45</definedName>
    <definedName name="PLAN_MONTHLY_6">[49]summary!$B$12:$AO$45</definedName>
    <definedName name="PLAN_MONTHLY_6_1">[47]summary!$B$12:$AO$45</definedName>
    <definedName name="PLAN_MONTHLY_7">[49]summary!$B$12:$AO$45</definedName>
    <definedName name="PLAN_MONTHLY_7_1">[46]summary!$B$12:$AO$45</definedName>
    <definedName name="PLAN_MONTHLY_8">[47]summary!$B$12:$AO$45</definedName>
    <definedName name="PLAN_MONTHLY_9">[47]summary!$B$12:$AO$45</definedName>
    <definedName name="PLATINUM">#REF!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Port">[12]!PortTable[L. PORT]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'[50]DP Report'!$F$42:$F$42</definedName>
    <definedName name="PROD_OB">'[50]DP Report'!$F$33:$F$33</definedName>
    <definedName name="ProdBdgt">'[51]Sum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0">#REF!</definedName>
    <definedName name="produksi">#REF!</definedName>
    <definedName name="Project">[42]Project!$A$3:$A$1003</definedName>
    <definedName name="Project1">[34]Project!$A$3:$A$1003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[31]TJ!$C$4:$Y$432</definedName>
    <definedName name="REN_LMA">[31]LM!$C$4:$Y$168</definedName>
    <definedName name="RENTAL">[31]ACUM!$B$4:$CT$27</definedName>
    <definedName name="rp">[52]OFFICE!$AW$6</definedName>
    <definedName name="SC" localSheetId="0">#REF!</definedName>
    <definedName name="SC">#REF!</definedName>
    <definedName name="sdhjfwsa\" localSheetId="0">'[3]MTD OB Forecasting'!#REF!</definedName>
    <definedName name="sdhjfwsa\">'[3]MTD OB Forecasting'!#REF!</definedName>
    <definedName name="Second" localSheetId="0">#REF!</definedName>
    <definedName name="Second">#REF!</definedName>
    <definedName name="sencount" hidden="1">2</definedName>
    <definedName name="Send" localSheetId="0">#REF!</definedName>
    <definedName name="Send">#REF!</definedName>
    <definedName name="SFfuel">[53]Assumptions!$D$473</definedName>
    <definedName name="Shikoku">[1]Validation!$A$10</definedName>
    <definedName name="SlsBudget">'[51]Sum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[31]ACUM!$ED$64:$FJ$87</definedName>
    <definedName name="Stop" localSheetId="0">#REF!</definedName>
    <definedName name="Stop">#REF!</definedName>
    <definedName name="Stop_kilo" localSheetId="0">#REF!</definedName>
    <definedName name="Stop_kilo">#REF!</definedName>
    <definedName name="SubAccount">[54]!Sub_Account</definedName>
    <definedName name="subhan" localSheetId="0">'[6]MTD OB Forecasting'!#REF!</definedName>
    <definedName name="subhan">'[6]MTD OB Forecasting'!#REF!</definedName>
    <definedName name="SummPRM">'[55]Summ PRM'!$B$6:$BO$108</definedName>
    <definedName name="suryanto" localSheetId="0">'[3]MTD OB Forecasting'!#REF!</definedName>
    <definedName name="suryanto">'[3]MTD OB Forecasting'!#REF!</definedName>
    <definedName name="TCM">[7]TCM!$A$2:$KE$234</definedName>
    <definedName name="TDM">[7]TDM!$A$4:$EW$40</definedName>
    <definedName name="Term">[12]!TermTable[TERM OF]</definedName>
    <definedName name="test" localSheetId="0">#REF!</definedName>
    <definedName name="test">#REF!</definedName>
    <definedName name="TONNAGE">[13]dBase!$R$2:$R$4381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OTALDEMURRAGE">'[10]CRM DATABASE 2015'!$BV$9:$BV$247</definedName>
    <definedName name="TOTALPENALTY">'[10]CRM DATABASE 2015'!$BN$9:$BN$247</definedName>
    <definedName name="TUNAS">[31]ACUM!$B$4:$CT$27</definedName>
    <definedName name="TYPE">[13]dBase!$BC$2:$BC$4381</definedName>
    <definedName name="UA_Actual">[4]Data!$B$112:$AG$121</definedName>
    <definedName name="UA_Plan">[4]Data!$B$99:$AG$108</definedName>
    <definedName name="uu" hidden="1">{"Valuation",#N/A,TRUE,"Valuation Summary";"Financial Statements",#N/A,TRUE,"Results";"Results",#N/A,TRUE,"Results";"Ratios",#N/A,TRUE,"Results";"P2 Summary",#N/A,TRUE,"Results"}</definedName>
    <definedName name="WAITINGTIME">'[10]CRM DATABASE 2015'!$BP$9:$BP$247</definedName>
    <definedName name="WASTE" localSheetId="0">#REF!</definedName>
    <definedName name="WASTE">#REF!</definedName>
    <definedName name="Wh" localSheetId="0">#REF!</definedName>
    <definedName name="Wh">#REF!</definedName>
    <definedName name="WORK">[31]ACUM!$ED$4:$FJ$27</definedName>
    <definedName name="Worksheet2016">#REF!</definedName>
    <definedName name="wrn.M." hidden="1">{#N/A,#N/A,FALSE,"M01";#N/A,#N/A,FALSE,"M02";#N/A,#N/A,FALSE,"M03";#N/A,#N/A,FALSE,"M04";#N/A,#N/A,FALSE,"M05";#N/A,#N/A,FALSE,"M08"}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hidden="1">{#N/A,#N/A,FALSE,"QR";#N/A,#N/A,FALSE,"R02";#N/A,#N/A,FALSE,"R04";#N/A,#N/A,FALSE,"R05";#N/A,#N/A,FALSE,"R08"}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S">'[7]WS-Daily'!$B$5:$GJ$1957</definedName>
    <definedName name="WSA" localSheetId="0">#REF!</definedName>
    <definedName name="WSA">#REF!</definedName>
    <definedName name="Y" hidden="1">{#N/A,#N/A,FALSE,"M01";#N/A,#N/A,FALSE,"M02";#N/A,#N/A,FALSE,"M03";#N/A,#N/A,FALSE,"M04";#N/A,#N/A,FALSE,"M05";#N/A,#N/A,FALSE,"M08"}</definedName>
    <definedName name="yes" localSheetId="0">'[6]MTD OB Forecasting'!#REF!</definedName>
    <definedName name="yes">'[6]MTD OB Forecasting'!#REF!</definedName>
    <definedName name="yun" localSheetId="0">'[6]MTD OB Forecasting'!#REF!</definedName>
    <definedName name="yun">'[6]MTD OB Forecasting'!#REF!</definedName>
    <definedName name="yusuf" localSheetId="0">'[3]MTD OB Forecasting'!#REF!</definedName>
    <definedName name="yusuf">'[3]MTD OB Forecasting'!#REF!</definedName>
    <definedName name="z" localSheetId="0">'[6]MTD OB Forecasting'!#REF!</definedName>
    <definedName name="z">'[6]MTD OB Forecasting'!#REF!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I32" i="1" l="1"/>
  <c r="BI31" i="1"/>
  <c r="BI30" i="1"/>
  <c r="BI29" i="1"/>
  <c r="BI28" i="1"/>
  <c r="BI27" i="1"/>
  <c r="BI26" i="1"/>
  <c r="BI25" i="1"/>
  <c r="BI24" i="1"/>
  <c r="BI23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Debora Bebylina Noya</author>
    <author>Winwin</author>
    <author>Hermansyah Syah</author>
    <author>Landung Yudanto</author>
  </authors>
  <commentList>
    <comment ref="AW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Debora Bebylina Noya:
[9/27] add from BBA</t>
        </r>
      </text>
    </comment>
    <comment ref="BJ4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Winwin:
increased from 65kt</t>
        </r>
      </text>
    </comment>
    <comment ref="F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Debora Bebylina Noya:
[23/9] change vessel name i/o Tian Zuo</t>
        </r>
      </text>
    </comment>
    <comment ref="H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Debora Bebylina Noya:
[9/2] add new shipment</t>
        </r>
      </text>
    </comment>
    <comment ref="AU5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Winwin:
Changed to MCM rearding RKAB unapprove (15/04)</t>
        </r>
      </text>
    </comment>
    <comment ref="AX5" authorId="1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Winwin:
BG TBG 310, ETA: 28/04 (delayed from 25/04)
Changed to BBA, regaridng unmatching time (16/04)</t>
        </r>
      </text>
    </comment>
    <comment ref="BA5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Winwin:
Changed to KBM regarding still can't utilize (16/04)</t>
        </r>
      </text>
    </comment>
    <comment ref="BJ5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Winwin:
Decreased tonnage from 70kt</t>
        </r>
      </text>
    </comment>
    <comment ref="AC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Debora Bebylina Noya:
[10/7] RMN 388 ATA 9/25 PM</t>
        </r>
      </text>
    </comment>
    <comment ref="AX6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Winwin:
Changed to KJM (25/04)</t>
        </r>
      </text>
    </comment>
    <comment ref="BF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Debora Bebylina Noya:
[10/9] Asia Rider 901, 9/25</t>
        </r>
      </text>
    </comment>
    <comment ref="BJ6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Winwin:
Decreased from 70kt</t>
        </r>
      </text>
    </comment>
    <comment ref="AA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Debora Bebylina Noya:
[23/9] grounded, low water level
</t>
        </r>
      </text>
    </comment>
    <comment ref="AR7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Winwin:
BG. DHAMMA PARAMITA, ETA: 03/05 subs to BG Samudra 05 as May 3rd
upd 3 May swap with xindian Bg Samudera 05
as May 7th, add MCM BG Robby 207n
1. Bg Samudera 05 eta May 8th = 5202.67</t>
        </r>
      </text>
    </comment>
    <comment ref="AT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Debora Bebylina Noya:
[10/7] Robby 211, ATA 10/2</t>
        </r>
      </text>
    </comment>
    <comment ref="BJ7" authorId="1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Winwin:
Decreased from 75kt</t>
        </r>
      </text>
    </comment>
    <comment ref="BV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1.5 AD reject</t>
        </r>
      </text>
    </comment>
    <comment ref="BZ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 xml:space="preserve">5000 NAR reject
</t>
        </r>
      </text>
    </comment>
    <comment ref="X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Debora Bebylina Noya:
[10/8] removed</t>
        </r>
      </text>
    </comment>
    <comment ref="AA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Debora Bebylina Noya:
[10/7} LS 77 eta 12</t>
        </r>
      </text>
    </comment>
    <comment ref="AG8" authorId="2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 xml:space="preserve">Hermansyah Syah:
1. Bg. Asia Trans 222 eta </t>
        </r>
      </text>
    </comment>
    <comment ref="AL8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Debora Bebylina Noya:
[10/7] LS 68</t>
        </r>
      </text>
    </comment>
    <comment ref="AM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Debora Bebylina Noya:
[30/9] IKJ subs to KBM</t>
        </r>
      </text>
    </comment>
    <comment ref="X9" authorId="3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Landung Yudanto:
Bg. RMN 3318</t>
        </r>
      </text>
    </comment>
    <comment ref="AF9" authorId="2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Hermansyah Syah:
Bg Isa 310 ETA 10/5</t>
        </r>
      </text>
    </comment>
    <comment ref="AT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Debora Bebylina Noya:
[10/7] MBS 271 ATA 8/10 and Robby 223</t>
        </r>
      </text>
    </comment>
    <comment ref="BK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Debora Bebylina Noya:
subs laycan with 14-23/5 with Tj Jti Lot H</t>
        </r>
      </text>
    </comment>
    <comment ref="X10" authorId="3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 xml:space="preserve">Landung Yudanto:
Bg. Robby 369
Bg. Kasen Power
Bg. LS VIII
Bg. Asia Trans 310
Bg. PST 1112
</t>
        </r>
      </text>
    </comment>
    <comment ref="AF1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Debora Bebylina Noya:
[10/7] MJL 3011, eta 10/11</t>
        </r>
      </text>
    </comment>
    <comment ref="AT1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Debora Bebylina Noya:
[10/7] MBS 271 ATA 8/10 and Robby 223</t>
        </r>
      </text>
    </comment>
    <comment ref="AX10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[8/5] MML not update yet</t>
        </r>
      </text>
    </comment>
    <comment ref="BV10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 xml:space="preserve">TS 1% reject
</t>
        </r>
      </text>
    </comment>
    <comment ref="BY1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 xml:space="preserve">5300 GAR reject
</t>
        </r>
      </text>
    </comment>
    <comment ref="F11" authorId="3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Landung Yudanto:
[10/15] Possibility of Vessel Change from MBS BUYAN</t>
        </r>
      </text>
    </comment>
    <comment ref="V11" authorId="1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Winwin:
Changed to EBH regarding, TS (26/04)</t>
        </r>
      </text>
    </comment>
    <comment ref="V12" authorId="2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Hermansyah Syah:
swap ganti TIS as rekomendasi sales 17 April
[20/5] ata 15-16</t>
        </r>
      </text>
    </comment>
    <comment ref="X12" authorId="3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Landung Yudanto:
Bg. Asia Trans 555
Bg. Robby 337</t>
        </r>
      </text>
    </comment>
    <comment ref="AB1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Debora Bebylina Noya:
[10/14] TIS removed due loss stock , 1000tons at Bunyut (i/o 5300)</t>
        </r>
      </text>
    </comment>
    <comment ref="AF12" authorId="2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Hermansyah Syah:
Bg. 334</t>
        </r>
      </text>
    </comment>
    <comment ref="AT1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Debora Bebylina Noya:
[10/7] Robby 205 ETA 11/10</t>
        </r>
      </text>
    </comment>
    <comment ref="BK12" authorId="2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Hermansyah Syah:
proposal awal 26 April sebelum turun ke May</t>
        </r>
      </text>
    </comment>
    <comment ref="H1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Debora Bebylina Noya:
[19/8] add new shipment</t>
        </r>
      </text>
    </comment>
    <comment ref="AA13" authorId="3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Landung Yudanto:
Bg. RMN 386
Bg. RMN 372
Bg. RMN 382</t>
        </r>
      </text>
    </comment>
    <comment ref="AU1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Debora Bebylina Noya:
[14/3] BMM removed, update plan fr 3 PC</t>
        </r>
      </text>
    </comment>
    <comment ref="BA13" authorId="1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Winwin:
[26/4] Changed to MCM 1 barges
[14/5] KPM removed, update plan fr 3PC</t>
        </r>
      </text>
    </comment>
    <comment ref="AA14" authorId="3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Landung Yudanto:
Bg. RMN 337</t>
        </r>
      </text>
    </comment>
    <comment ref="AG14" authorId="2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Hermansyah Syah:
RMN 308 paki dari yg bunyut jetty</t>
        </r>
      </text>
    </comment>
    <comment ref="AG15" authorId="2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Hermansyah Syah:
Bg. 351</t>
        </r>
      </text>
    </comment>
    <comment ref="F16" authorId="3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Landung Yudanto:
[10/15] Vessel Change from GL LA PAZ</t>
        </r>
      </text>
    </comment>
    <comment ref="H1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Debora Bebylina Noya:
i/o Jera#8/11 (TS rej 1.3%) swab with Nov</t>
        </r>
      </text>
    </comment>
    <comment ref="BF16" authorId="3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Landung Yudanto
Bg. Mahkota Prima 06
Bg. Mahkota Prima 07</t>
        </r>
      </text>
    </comment>
    <comment ref="BV1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1.7 reject</t>
        </r>
      </text>
    </comment>
    <comment ref="BZ1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5300 reject</t>
        </r>
      </text>
    </comment>
    <comment ref="F17" authorId="3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Landung Yudanto:
[10/15] Dummy nomination
[10/21] Change Vessel Name from Andreas Petrakis</t>
        </r>
      </text>
    </comment>
    <comment ref="AF1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Debora Bebylina Noya:
[10/7] RMN 334</t>
        </r>
      </text>
    </comment>
    <comment ref="S18" authorId="3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Landung Yudanto:
Remove 3000</t>
        </r>
      </text>
    </comment>
    <comment ref="BK18" authorId="2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Hermansyah Syah:
proposal 7 April, ganti laycan dari 22 April</t>
        </r>
      </text>
    </comment>
    <comment ref="BK19" authorId="2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Hermansyah Syah:
proposal awal 25 Mar</t>
        </r>
      </text>
    </comment>
    <comment ref="H21" authorId="2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Hermansyah Syah:
(09/26) carry over due to eta become 29</t>
        </r>
      </text>
    </comment>
    <comment ref="BK21" authorId="2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Hermansyah Syah:
proposal awal 27 Apr</t>
        </r>
      </text>
    </comment>
    <comment ref="F22" authorId="2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 xml:space="preserve">Hermansyah Syah:
(09/27) nominasi baru dikasih tgl 27 dan stwg plan turun dari 71.5 </t>
        </r>
      </text>
    </comment>
    <comment ref="T22" authorId="2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Hermansyah Syah:
not matching interm of timing</t>
        </r>
      </text>
    </comment>
    <comment ref="BK22" authorId="2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Hermansyah Syah:
propose awal 5 Mar, ganti laycan dari 8-17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Winwin</author>
    <author>Hermansyah Syah</author>
  </authors>
  <commentList>
    <comment ref="BD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Winwin:
Decreased tonnage from 70kt</t>
        </r>
      </text>
    </comment>
    <comment ref="D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Winwin:
Changed shipper from BEK (19/04)</t>
        </r>
      </text>
    </comment>
    <comment ref="BE8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Hermansyah Syah:
propose awal 10 Mar</t>
        </r>
      </text>
    </comment>
    <comment ref="D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Winwin:
Changed shipper from BEK (SOS 22/03)</t>
        </r>
      </text>
    </comment>
    <comment ref="BD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Winwin:
Increased from 75kt (SOS 04/05)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Landung Yudanto</author>
    <author>Debora Bebylina Noya</author>
    <author>Hermansyah Syah</author>
  </authors>
  <commentList>
    <comment ref="AH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Landung Yudanto:
[10/14] LS 69 ETA 10/15</t>
        </r>
      </text>
    </comment>
    <comment ref="AM4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Debora Bebylina Noya:
[14/10] removed, request fr CQM</t>
        </r>
      </text>
    </comment>
    <comment ref="BN4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TS 1.4 reject</t>
        </r>
      </text>
    </comment>
    <comment ref="BR4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4400 NAR</t>
        </r>
      </text>
    </comment>
    <comment ref="D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Landung Yudanto:
[10/18] Change from BEK to TCM</t>
        </r>
      </text>
    </comment>
    <comment ref="BO7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2.2 reject</t>
        </r>
      </text>
    </comment>
    <comment ref="BQ7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 xml:space="preserve">5400 reject
</t>
        </r>
      </text>
    </comment>
    <comment ref="BE8" authorId="2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Hermansyah Syah:
propose awal 10 Mar</t>
        </r>
      </text>
    </comment>
    <comment ref="AN10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Debora Bebylina Noya:
[14/10] JHN removed, no plan update as Oct 14th</t>
        </r>
      </text>
    </comment>
    <comment ref="BD11" authorId="1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Debora Bebylina Noya:
[10/7] change to 30kton i/o 75kton</t>
        </r>
      </text>
    </comment>
    <comment ref="D13" authorId="2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Hermansyah Syah:
(09/27) change shipper to TCM (i/o BEK)</t>
        </r>
      </text>
    </comment>
    <comment ref="I15" authorId="2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 xml:space="preserve">Hermansyah Syah:
(08/23) change shipperto IMM from BEK </t>
        </r>
      </text>
    </comment>
    <comment ref="AN2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Landung Yudanto:
[0/14] JHN Removed change to KJM</t>
        </r>
      </text>
    </comment>
    <comment ref="BE23" authorId="2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Hermansyah Syah:
propose 28 feb - 8 maret
change laycan from 15 - 24</t>
        </r>
      </text>
    </comment>
    <comment ref="BE24" authorId="2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Hermansyah Syah:
prpose awal 10 mar, 16 mar</t>
        </r>
      </text>
    </comment>
    <comment ref="BE25" authorId="2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Hermansyah Syah:
propose awal 10-19</t>
        </r>
      </text>
    </comment>
    <comment ref="BE27" authorId="2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Hermansyah Syah:
propose 13-22, change laycan fro 15-23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Winwin</author>
    <author>Debora Bebylina Noya</author>
    <author>Landung Yudanto</author>
    <author>Hermansyah Syah</author>
  </authors>
  <commentList>
    <comment ref="B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Winwin:
BG. PRIMA SAKTI 57, ETA: 22/12</t>
        </r>
      </text>
    </comment>
    <comment ref="BE7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Debora Bebylina Noya:
[10/7] 1st proposal 7-16/12</t>
        </r>
      </text>
    </comment>
    <comment ref="BD1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Winwin:
Increased from 75kt (SOS 04/05)</t>
        </r>
      </text>
    </comment>
    <comment ref="BE12" authorId="2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Landung Yudanto:
[10/13] Proposal 12/16-12/25</t>
        </r>
      </text>
    </comment>
    <comment ref="Y13" authorId="2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Landung Yudanto:
[10/14] Removed EBH, Change to TIS</t>
        </r>
      </text>
    </comment>
    <comment ref="BE26" authorId="3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Hermansyah Syah:
(10/11) proposal awal 4 Dec</t>
        </r>
      </text>
    </comment>
    <comment ref="BE27" authorId="3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Hermansyah Syah:
(09/16) propose awal 9 Dec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Winwin</author>
    <author>Debora Bebylina Noya</author>
    <author>Landung Yudanto</author>
    <author>Hermansyah Syah</author>
  </authors>
  <commentList>
    <comment ref="BC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Winwin:
BG. PRIMA SAKTI 57, ETA: 22/12</t>
        </r>
      </text>
    </comment>
    <comment ref="BE7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Debora Bebylina Noya:
[10/7] 1st proposal 7-16/12</t>
        </r>
      </text>
    </comment>
    <comment ref="BD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Winwin:
Increased from 75kt (SOS 04/05)</t>
        </r>
      </text>
    </comment>
    <comment ref="BE12" authorId="2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Landung Yudanto:
[10/13] Proposal 12/16-12/25</t>
        </r>
      </text>
    </comment>
    <comment ref="Y13" authorId="2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Landung Yudanto:
[10/14] Removed EBH, Change to TIS</t>
        </r>
      </text>
    </comment>
    <comment ref="BE26" authorId="3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Hermansyah Syah:
(10/11) proposal awal 4 Dec</t>
        </r>
      </text>
    </comment>
    <comment ref="BE27" authorId="3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Hermansyah Syah:
(09/16) propose awal 9 Dec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Winwin</author>
    <author>Debora Bebylina Noya</author>
    <author>Landung Yudanto</author>
    <author>Hermansyah Syah</author>
  </authors>
  <commentList>
    <comment ref="BC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Winwin:
BG. PRIMA SAKTI 57, ETA: 22/12</t>
        </r>
      </text>
    </comment>
    <comment ref="BE7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Debora Bebylina Noya:
[10/7] 1st proposal 7-16/12</t>
        </r>
      </text>
    </comment>
    <comment ref="BD1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Winwin:
Increased from 75kt (SOS 04/05)</t>
        </r>
      </text>
    </comment>
    <comment ref="BE12" authorId="2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Landung Yudanto:
[10/13] Proposal 12/16-12/25</t>
        </r>
      </text>
    </comment>
    <comment ref="Y13" authorId="2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Landung Yudanto:
[10/14] Removed EBH, Change to TIS</t>
        </r>
      </text>
    </comment>
    <comment ref="BE26" authorId="3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Hermansyah Syah:
(10/11) proposal awal 4 Dec</t>
        </r>
      </text>
    </comment>
    <comment ref="BE27" authorId="3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Hermansyah Syah:
(09/16) propose awal 9 Dec</t>
        </r>
      </text>
    </comment>
  </commentList>
</comments>
</file>

<file path=xl/sharedStrings.xml><?xml version="1.0" encoding="utf-8"?>
<sst xmlns="http://schemas.openxmlformats.org/spreadsheetml/2006/main" count="2577" uniqueCount="426">
  <si>
    <t>No.</t>
  </si>
  <si>
    <t>No Mahakam</t>
  </si>
  <si>
    <t>Month</t>
  </si>
  <si>
    <t>Company</t>
  </si>
  <si>
    <t>Tyoe of Shipment</t>
  </si>
  <si>
    <t>Name of Vessel</t>
  </si>
  <si>
    <t>Buyer</t>
  </si>
  <si>
    <t>End user</t>
  </si>
  <si>
    <t>Load Port</t>
  </si>
  <si>
    <t>ETA/ATA</t>
  </si>
  <si>
    <t>ETA S.</t>
  </si>
  <si>
    <t>ETB</t>
  </si>
  <si>
    <t>ETB S.</t>
  </si>
  <si>
    <t>ETD</t>
  </si>
  <si>
    <t>ETD S.</t>
  </si>
  <si>
    <t>IMM-WB.HCV.LS</t>
  </si>
  <si>
    <t>IMM-WB.MCV.HS</t>
  </si>
  <si>
    <t>IMM-EB.MCV.LS</t>
  </si>
  <si>
    <t>IMM-EB.MCV.MS</t>
  </si>
  <si>
    <t>IMM-EB.MCV.HS</t>
  </si>
  <si>
    <t xml:space="preserve">TCM.HCV.LS </t>
  </si>
  <si>
    <t xml:space="preserve">TCM.HCV.HS </t>
  </si>
  <si>
    <t>TCM.HCV.MS</t>
  </si>
  <si>
    <t>BEK.MCV.LS</t>
  </si>
  <si>
    <t>BEK.HCV.MS</t>
  </si>
  <si>
    <t>JBG</t>
  </si>
  <si>
    <t>GPK</t>
  </si>
  <si>
    <t>TIS</t>
  </si>
  <si>
    <t>EBH.HCV</t>
  </si>
  <si>
    <t>SHORE.HCV</t>
  </si>
  <si>
    <t>KMIA.MCV.LS</t>
  </si>
  <si>
    <t>BBE.MCV</t>
  </si>
  <si>
    <t>MBL.MCV</t>
  </si>
  <si>
    <t>JMB MCV</t>
  </si>
  <si>
    <t>GHP.MCV</t>
  </si>
  <si>
    <t>EMJ.MCV</t>
  </si>
  <si>
    <t>PEY.MCV</t>
  </si>
  <si>
    <t>KBM.MCV</t>
  </si>
  <si>
    <t>IKJ MCV</t>
  </si>
  <si>
    <t>PUMA MCV</t>
  </si>
  <si>
    <t>AUB</t>
  </si>
  <si>
    <t>BAR</t>
  </si>
  <si>
    <t>KJA.LCV.LS</t>
  </si>
  <si>
    <t>JHN.LCV</t>
  </si>
  <si>
    <t>DMP.LCV</t>
  </si>
  <si>
    <t>MCM.LCV</t>
  </si>
  <si>
    <t>BMM.LCV</t>
  </si>
  <si>
    <t>ABA.LCV</t>
  </si>
  <si>
    <t>BBA.LCV</t>
  </si>
  <si>
    <t>MML.LCV</t>
  </si>
  <si>
    <t>SJA.LCV</t>
  </si>
  <si>
    <t>KWA.LCV</t>
  </si>
  <si>
    <t>KPM.LCV</t>
  </si>
  <si>
    <t>KJM.LCV</t>
  </si>
  <si>
    <t>DBP.LCV</t>
  </si>
  <si>
    <t>IBP.LCV</t>
  </si>
  <si>
    <t>RMB.LCV</t>
  </si>
  <si>
    <t>BUM.LCV</t>
  </si>
  <si>
    <t>BISM.LCV</t>
  </si>
  <si>
    <t>PSB.LCV</t>
  </si>
  <si>
    <t>Total EBP</t>
  </si>
  <si>
    <t>Total</t>
  </si>
  <si>
    <t>Lay</t>
  </si>
  <si>
    <t>Lay S.</t>
  </si>
  <si>
    <t>can</t>
  </si>
  <si>
    <t>Can S.</t>
  </si>
  <si>
    <t>%</t>
  </si>
  <si>
    <t>Status</t>
  </si>
  <si>
    <t>FLF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</si>
  <si>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</si>
  <si>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</si>
  <si>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</si>
  <si>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</si>
  <si>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</si>
  <si>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</si>
  <si>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</si>
  <si>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</si>
  <si>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</si>
  <si>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PW0</t>
  </si>
  <si>
    <t>PW1</t>
  </si>
  <si>
    <t>PW2</t>
  </si>
  <si>
    <t>PW3</t>
  </si>
  <si>
    <t>PW4</t>
  </si>
  <si>
    <t>PW5</t>
  </si>
  <si>
    <t>Act</t>
  </si>
  <si>
    <t>DW0</t>
  </si>
  <si>
    <t>DW1</t>
  </si>
  <si>
    <t>DW2</t>
  </si>
  <si>
    <t>DW3</t>
  </si>
  <si>
    <t>DW4</t>
  </si>
  <si>
    <t>DW5</t>
  </si>
  <si>
    <t>Act_1</t>
  </si>
  <si>
    <t>GLR</t>
  </si>
  <si>
    <t>Column85</t>
  </si>
  <si>
    <t>Column86</t>
  </si>
  <si>
    <t>Column87</t>
  </si>
  <si>
    <t>Column88</t>
  </si>
  <si>
    <t>IMM</t>
  </si>
  <si>
    <t>Vessel</t>
  </si>
  <si>
    <t>MV. PELITA MUSTIKAWATI</t>
  </si>
  <si>
    <t>HMS BERGBAU (BANGLADESH-5600GAR/TS max 2.8%)</t>
  </si>
  <si>
    <t>HMS BANGLADESH #SPOT</t>
  </si>
  <si>
    <t>BoCT</t>
  </si>
  <si>
    <t>30.Aug</t>
  </si>
  <si>
    <t>31.Aug</t>
  </si>
  <si>
    <t>1.Sep</t>
  </si>
  <si>
    <t>28.Aug</t>
  </si>
  <si>
    <t>6.Sep</t>
  </si>
  <si>
    <t>Completed</t>
  </si>
  <si>
    <t>MV. ZHONG MENG HANG LIAN</t>
  </si>
  <si>
    <t>SUNNY EXPRESS (5,200NAR/ TS(rej) 2.2%)</t>
  </si>
  <si>
    <t>SUNNY EXPRESS 1st #MO</t>
  </si>
  <si>
    <t>4.Sep</t>
  </si>
  <si>
    <t>5.Sep</t>
  </si>
  <si>
    <t>13.Sep</t>
  </si>
  <si>
    <t>Plan</t>
  </si>
  <si>
    <t xml:space="preserve">MV. YUE DIAN 82 </t>
  </si>
  <si>
    <t>SHENHUA (5200NAR/TS max 2.0%)</t>
  </si>
  <si>
    <t>SHENHUA 5200NAR TS 2% #8/12</t>
  </si>
  <si>
    <t>7.Sep</t>
  </si>
  <si>
    <t>26.Aug</t>
  </si>
  <si>
    <t xml:space="preserve">MV. CLIPPER CYLDE </t>
  </si>
  <si>
    <t>SCGIC (UPPC)</t>
  </si>
  <si>
    <t>UPPC #1/2</t>
  </si>
  <si>
    <t>8.Sep</t>
  </si>
  <si>
    <t>3.Sep</t>
  </si>
  <si>
    <t>12.Sep</t>
  </si>
  <si>
    <t xml:space="preserve">MV. MALAKAND </t>
  </si>
  <si>
    <t>CHINA BAI GUI (XINDIAN) - 4450NAR/TS(max) 1.7%</t>
  </si>
  <si>
    <t>XINDIAN BAI GUI #13/31 (4450NAR)</t>
  </si>
  <si>
    <t>9.Sep</t>
  </si>
  <si>
    <t>11.Sep</t>
  </si>
  <si>
    <t>17.Sep</t>
  </si>
  <si>
    <t>BEK</t>
  </si>
  <si>
    <t xml:space="preserve">MV. VINCA </t>
  </si>
  <si>
    <t>MARUBENI-TOSOH (JFY2024)</t>
  </si>
  <si>
    <t>TOSOH #07</t>
  </si>
  <si>
    <t>15.Sep</t>
  </si>
  <si>
    <t>MV. YUE FAN</t>
  </si>
  <si>
    <t>SHENHUA 5200NAR TS 2% #9/12</t>
  </si>
  <si>
    <t>14.Sep</t>
  </si>
  <si>
    <t xml:space="preserve">MV. TBN </t>
  </si>
  <si>
    <t>EWR (5200NAR/TS max 2.3%)</t>
  </si>
  <si>
    <t>EWR 5200NAR TS 2.3% #01</t>
  </si>
  <si>
    <t>20.Sep</t>
  </si>
  <si>
    <t>CHINA BAI GUI (XINDIAN 2022- 5200NAR/TS rej 2.2%)</t>
  </si>
  <si>
    <t>XINDIAN BAI GUI 5200NAR #9/8</t>
  </si>
  <si>
    <t>22.Sep</t>
  </si>
  <si>
    <t>TCM</t>
  </si>
  <si>
    <t>FREEPORT</t>
  </si>
  <si>
    <t>FREEPORT #5/8</t>
  </si>
  <si>
    <t>18.Sep</t>
  </si>
  <si>
    <t>19.Sep</t>
  </si>
  <si>
    <t>XINDIAN BAI GUI 5200NAR #10/8</t>
  </si>
  <si>
    <t>24.Sep</t>
  </si>
  <si>
    <t>EBP</t>
  </si>
  <si>
    <t>MV. TBN</t>
  </si>
  <si>
    <t>BANPU PUBLIC CO (SCGP-4450NAR/TS 1.0%max)</t>
  </si>
  <si>
    <t>SCGP #SPOT</t>
  </si>
  <si>
    <t>16.Sep</t>
  </si>
  <si>
    <t>21.Sep</t>
  </si>
  <si>
    <t>25.Sep</t>
  </si>
  <si>
    <t>SUNNY EXPRESS 2nd #MO</t>
  </si>
  <si>
    <t>27.Sep</t>
  </si>
  <si>
    <t xml:space="preserve">MV. OI MARU </t>
  </si>
  <si>
    <t>JERA TRADING INC (1.3%)</t>
  </si>
  <si>
    <t>JERA #6/12 (TS rej 1.3%)</t>
  </si>
  <si>
    <t>26.Sep</t>
  </si>
  <si>
    <t>HMS BANGLADESH #PROSPECT</t>
  </si>
  <si>
    <t>3.Oct</t>
  </si>
  <si>
    <t>HONG KONG ELECTRIC (5800GAR)</t>
  </si>
  <si>
    <t>HKE #1/1</t>
  </si>
  <si>
    <t>23.Sep</t>
  </si>
  <si>
    <t>29.Sep</t>
  </si>
  <si>
    <t>2.Oct</t>
  </si>
  <si>
    <t>TJ JATI IMM (2025 NEW)</t>
  </si>
  <si>
    <t>TJ JATI IMM SEP #PROSPECT</t>
  </si>
  <si>
    <t>30.Sep</t>
  </si>
  <si>
    <t>5.Oct</t>
  </si>
  <si>
    <t>Direct Shipment</t>
  </si>
  <si>
    <t xml:space="preserve">BG. LINTAS SAMUDERA XIX </t>
  </si>
  <si>
    <t>PEC (IMM)</t>
  </si>
  <si>
    <t>PEC IMM BARGE SEP #01</t>
  </si>
  <si>
    <t>10.Sep</t>
  </si>
  <si>
    <t xml:space="preserve">BG. LINTAS SAMUDERA 139 </t>
  </si>
  <si>
    <t>PEC IMM BARGE SEP #02</t>
  </si>
  <si>
    <t xml:space="preserve">BG. TBN </t>
  </si>
  <si>
    <t>SEMEN JAWA</t>
  </si>
  <si>
    <t>SEMEN JAWA #PROSPECT</t>
  </si>
  <si>
    <t>Dump Truck</t>
  </si>
  <si>
    <t>DUMP TRUCK</t>
  </si>
  <si>
    <t>EUP</t>
  </si>
  <si>
    <t>EUP #6/12</t>
  </si>
  <si>
    <t>28.Sep</t>
  </si>
  <si>
    <t>MV. COSTANZA</t>
  </si>
  <si>
    <t>MARUBENI (TOKUYAMA-TCM)</t>
  </si>
  <si>
    <t>TOKUYAMA #08</t>
  </si>
  <si>
    <t>SMD Anc</t>
  </si>
  <si>
    <t>2.Sep</t>
  </si>
  <si>
    <t xml:space="preserve">MV. BEST TRADER </t>
  </si>
  <si>
    <t>XINDIAN BAI GUI #12/31 (4450NAR)</t>
  </si>
  <si>
    <t>27.Aug</t>
  </si>
  <si>
    <t>Loading</t>
  </si>
  <si>
    <t>MV. ELIJAH</t>
  </si>
  <si>
    <t>ZHEJIANG (5500NAR/TS 1.5%max)</t>
  </si>
  <si>
    <t>ZHEJIANG 5500NAR #03</t>
  </si>
  <si>
    <t>22.Aug</t>
  </si>
  <si>
    <t xml:space="preserve">MV. XIN HUAN HAI </t>
  </si>
  <si>
    <t>EXCELLENT SUCCESS LTD 5900 GAR (TS(max) 0.95%)</t>
  </si>
  <si>
    <t>HO PING POWER #3/6</t>
  </si>
  <si>
    <t>25.Aug</t>
  </si>
  <si>
    <t>MV. ZUIYO</t>
  </si>
  <si>
    <t>JOBAN JOINT POWER (BEK) TS max 0.75%</t>
  </si>
  <si>
    <t>JOBAN #2/3</t>
  </si>
  <si>
    <t>In Progress</t>
  </si>
  <si>
    <t>MV. ORIENTAL PEACE</t>
  </si>
  <si>
    <t>NIPPON PAPER</t>
  </si>
  <si>
    <t>NIPPON PAPER #1/2</t>
  </si>
  <si>
    <t>MV. WOOYANG VENUS</t>
  </si>
  <si>
    <t>KOWEPO (2024) DUMMY</t>
  </si>
  <si>
    <t>KOWEPO #3/3</t>
  </si>
  <si>
    <t>29.Aug</t>
  </si>
  <si>
    <t xml:space="preserve">MV. AGP KARTINI III </t>
  </si>
  <si>
    <t>OSS (GPK) - 3400NAR/TS 0.5% max</t>
  </si>
  <si>
    <t>OSS GPK SEP #SPOT</t>
  </si>
  <si>
    <t xml:space="preserve">MV. SEACON VANCOUVER </t>
  </si>
  <si>
    <t>EPDC (1.2%)</t>
  </si>
  <si>
    <t>EPDC #4/6</t>
  </si>
  <si>
    <t>MV. THERESA HEBEI</t>
  </si>
  <si>
    <t>THERMA LUZON (5700GAR/TS 0.60% max)</t>
  </si>
  <si>
    <t>THERMA LUZON 5700GAR TS 0.6% max #01</t>
  </si>
  <si>
    <t>ZHEJIANG (5200NAR/TS 1.0%max)</t>
  </si>
  <si>
    <t>ZHEJIANG 5200NAR TS 1% max #8/11</t>
  </si>
  <si>
    <t>HMS BERGBAU (RELIANCE/5200NAR/TS 1.4% max)</t>
  </si>
  <si>
    <t>HMS RELIANCE #6/6</t>
  </si>
  <si>
    <t>SHENHUA (5200NAR/TS max 1.0%)</t>
  </si>
  <si>
    <t>SHENHUA 5200NAR #8/18</t>
  </si>
  <si>
    <t>ADANI (5500GAR/TS 1% max)</t>
  </si>
  <si>
    <t>ADANI 5500GAR TS 1% #6/8</t>
  </si>
  <si>
    <t>ZHEJIANG (5200NAR/TS(max) 1.5%)</t>
  </si>
  <si>
    <t>ZHEJIANG 5200NAR #4/5</t>
  </si>
  <si>
    <t xml:space="preserve">MV. GOLDEN FREEZE </t>
  </si>
  <si>
    <t>HO PING POWER #4/6</t>
  </si>
  <si>
    <t>TOHOKU</t>
  </si>
  <si>
    <t>TOHOKU #4/5</t>
  </si>
  <si>
    <t>MV. LUMOSO PRATAMA</t>
  </si>
  <si>
    <t xml:space="preserve">TJ JATI BEK (2024 NEW) </t>
  </si>
  <si>
    <t>TJ JATI BEK LOT B1 AUG #01</t>
  </si>
  <si>
    <t>SMI GROUP (5600GAR/TS 1.2% max)</t>
  </si>
  <si>
    <t>SMI BEK 5600GAR SEP #01</t>
  </si>
  <si>
    <t xml:space="preserve">BG. ROBBY 385 </t>
  </si>
  <si>
    <t>BNJ GPK (FY2025)</t>
  </si>
  <si>
    <t>BNJ GPK AUG #03 (MV. FEIZA)</t>
  </si>
  <si>
    <t>GPK Port</t>
  </si>
  <si>
    <t>BNJ GPK AUG #04 (MV. ABDUL HAMID)</t>
  </si>
  <si>
    <t>BNJ GPK AUG #05 (MV. MUNQIDZ)</t>
  </si>
  <si>
    <t>BNJ GPK AUG #06 (MV. MUADZ)</t>
  </si>
  <si>
    <t>BNJ GPK SEP #01 (MV. MUNQIDZ)</t>
  </si>
  <si>
    <t xml:space="preserve">BNJ GPK SEP #02 </t>
  </si>
  <si>
    <t>BNJ GPK SEP #03</t>
  </si>
  <si>
    <t>SHENHUA 5200NAR #9/18</t>
  </si>
  <si>
    <t>SMI IMM (5600GAR/TS 1.5% max)</t>
  </si>
  <si>
    <t>SMI IMM JUL #PROSPECT</t>
  </si>
  <si>
    <t>THERMA LUZON 5700GAR TS 0.6% max #02</t>
  </si>
  <si>
    <t>TOKUYAMA #09</t>
  </si>
  <si>
    <t>SHENHUA 5200NAR TS 2% #10/12</t>
  </si>
  <si>
    <t>XINDIAN BAI GUI #14/31 (4450NAR)</t>
  </si>
  <si>
    <t>TJ JATI IMM OCT #PROSPECT</t>
  </si>
  <si>
    <t>SUNNY EXPRESS #13/14</t>
  </si>
  <si>
    <t xml:space="preserve">TJ JATI BEK (2025 NEW) </t>
  </si>
  <si>
    <t>TJ JATI BEK OCT #PROSPECT</t>
  </si>
  <si>
    <t>XINDIAN BAI GUI 5200NAR #11/8</t>
  </si>
  <si>
    <t>XINDIAN BAI GUI #15/31 (4450NAR)</t>
  </si>
  <si>
    <t>EXPRESS WELL RESOURCES (5600GAR/ TS max 2.8%)</t>
  </si>
  <si>
    <t>EWR OCT #SPOT</t>
  </si>
  <si>
    <t>TOSOH #08</t>
  </si>
  <si>
    <t>SUNNY EXPRESS #14/14</t>
  </si>
  <si>
    <t>SCGIC (SCGC) - 5700GAR/TS 2.5% max</t>
  </si>
  <si>
    <t>SCGC #PROSPECT</t>
  </si>
  <si>
    <t>RockTree Zeus</t>
  </si>
  <si>
    <t>UPPC #2/2</t>
  </si>
  <si>
    <t>JERA #7/12 (TS rej 1.3%)</t>
  </si>
  <si>
    <t>SMI IMM OCT #PROSPECT</t>
  </si>
  <si>
    <t>PEC IMM BARGE OCT #01</t>
  </si>
  <si>
    <t>PEC IMM BARGE OCT #02</t>
  </si>
  <si>
    <t>SEMEN JAWA #PROSPECT2</t>
  </si>
  <si>
    <t>EUP #7/12</t>
  </si>
  <si>
    <t>EUP #8/12</t>
  </si>
  <si>
    <t>EWR (5200NAR/TS max 1.0%)</t>
  </si>
  <si>
    <t>EWR 5200NAR TS 1% #01</t>
  </si>
  <si>
    <t>NOBLE RESOURCES - KOMIPO (5700NAR)</t>
  </si>
  <si>
    <t>NOBLE (KOMIPO) SEP #SPOT</t>
  </si>
  <si>
    <t>GUNBUSTER - OSS (5500NAR/TS 1% max)</t>
  </si>
  <si>
    <t>GUNBUSTER #PROSPECT</t>
  </si>
  <si>
    <t>MARUBENI (KOBE)</t>
  </si>
  <si>
    <t>KOBE #04</t>
  </si>
  <si>
    <t>CHINA BAI GUI (XINDIAN) (5200NAR/TS max 1.2%)</t>
  </si>
  <si>
    <t>XINDIAN BAI GUI 5200NAR 1.2% max #04</t>
  </si>
  <si>
    <t>HOKURIKU (TCM)</t>
  </si>
  <si>
    <t>HOKURIKU #SPOT</t>
  </si>
  <si>
    <t>ADANI 5500GAR TS 1% #7/8</t>
  </si>
  <si>
    <t>HO PING POWER 5900 GAR (TS(max) 0.95%)</t>
  </si>
  <si>
    <t>HO PING POWER #5/6</t>
  </si>
  <si>
    <t>XINDIAN BAI GUI 5200NAR 1.2% max #MO</t>
  </si>
  <si>
    <t>SMI GROUP - TCM (FY2025)</t>
  </si>
  <si>
    <t>GCNS #PROSPECT 01</t>
  </si>
  <si>
    <t>ZHEJIANG 5200NAR TS 1% max #9/11</t>
  </si>
  <si>
    <t>SHENHUA 5200NAR #10/18</t>
  </si>
  <si>
    <t>SHIKOKU</t>
  </si>
  <si>
    <t>SHIKOKU #SPOT</t>
  </si>
  <si>
    <t>KOWEPO (2024)</t>
  </si>
  <si>
    <t>KOWEPO #MO</t>
  </si>
  <si>
    <t>THERMA LUZON 5700GAR TS 0.6% max #03</t>
  </si>
  <si>
    <t>BNJ GPK SEP #04</t>
  </si>
  <si>
    <t>BNJ GPK SEP #05</t>
  </si>
  <si>
    <t>BNJ GPK SEP #06</t>
  </si>
  <si>
    <t>BNJ GPK SEP #07</t>
  </si>
  <si>
    <t>XINDIAN BAI GUI 5200NAR #12/8</t>
  </si>
  <si>
    <t>SHENHUA 5200NAR TS 2% #11/12</t>
  </si>
  <si>
    <t>TJ JATI BEK NOV #PROSPECT 01</t>
  </si>
  <si>
    <t>XINDIAN BAI GUI #16/31 (4450NAR)</t>
  </si>
  <si>
    <t>TENAGA NATIONAL BERHAD (5523 GAR)</t>
  </si>
  <si>
    <t>JIMAH #1/6</t>
  </si>
  <si>
    <t>EWR - 4500NAR/TS(max) 1.5%</t>
  </si>
  <si>
    <t>EWR 4500NAR TS 1.5% #01</t>
  </si>
  <si>
    <t>XINDIAN BAI GUI 5200NAR #13/8</t>
  </si>
  <si>
    <t>TOSOH #09</t>
  </si>
  <si>
    <t>EQUENTIA NATURAL RESOURCES (TS(max) 2.8%</t>
  </si>
  <si>
    <t>ENR BANGLADESH #PROSPECT</t>
  </si>
  <si>
    <t>XINDIAN BAI GUI #17/31 (4450NAR)</t>
  </si>
  <si>
    <t>TJ JATI BEK NOV #PROSPECT 02</t>
  </si>
  <si>
    <t>TJ JATI IMM NOV #PROSPECT</t>
  </si>
  <si>
    <t>JERA #8/12 (TS rej 1.3%)</t>
  </si>
  <si>
    <t>FREEPORT #6/8</t>
  </si>
  <si>
    <t>XINDIAN BAI GUI 5200NAR #14/8</t>
  </si>
  <si>
    <t>SMI IMM NOV #PROSPECT</t>
  </si>
  <si>
    <t>TOKUYAMA #PROSPECT</t>
  </si>
  <si>
    <t>PEC IMM BARGE NOV #01</t>
  </si>
  <si>
    <t>PEC IMM BARGE NOV #02</t>
  </si>
  <si>
    <t>PEC IMM BARGE NOV #03</t>
  </si>
  <si>
    <t>SEMEN JAWA #PROSPECT3</t>
  </si>
  <si>
    <t>INDOCEMENT - IMM (2023)</t>
  </si>
  <si>
    <t>INDOCEMENT IMM #09</t>
  </si>
  <si>
    <t>EUP #9/12</t>
  </si>
  <si>
    <t>EUP #10/12</t>
  </si>
  <si>
    <t>KANSAI (5800GAR)</t>
  </si>
  <si>
    <t>KANSAI #2/3</t>
  </si>
  <si>
    <t>EPDC #5/6</t>
  </si>
  <si>
    <t>CHINA BAI GUI XINDIAN (5200NAR/TS(max) 1.5%)</t>
  </si>
  <si>
    <t>XINDIAN 5200NAR TS 1.5% max #01</t>
  </si>
  <si>
    <t>EWR 5200NAR TS 1% #02</t>
  </si>
  <si>
    <t>HO PING POWER #6/6</t>
  </si>
  <si>
    <t>ZHEJIANG 5200NAR TS 1% max #10/11</t>
  </si>
  <si>
    <t>HOKKAIDO ELECTRIC</t>
  </si>
  <si>
    <t>HOKKAIDO #02</t>
  </si>
  <si>
    <t>PLN (BEK)</t>
  </si>
  <si>
    <t>PLN BEK #02</t>
  </si>
  <si>
    <t>GCNS #PROSPECT</t>
  </si>
  <si>
    <t>XINDIAN BAI GUI 5200NAR 1.2% max #2/3</t>
  </si>
  <si>
    <t>ZHEJIANG 5500NAR #04</t>
  </si>
  <si>
    <t>JOBAN JOINT POWER (TCM) TS max 0.75%</t>
  </si>
  <si>
    <t>JOBAN #3/3</t>
  </si>
  <si>
    <t>SHENHUA 5200NAR #11/18</t>
  </si>
  <si>
    <t>CILACAP</t>
  </si>
  <si>
    <t>CILACAP #PROSPECT</t>
  </si>
  <si>
    <t>Jorong</t>
  </si>
  <si>
    <t>XINDIAN BAI GUI 5200NAR #15/8</t>
  </si>
  <si>
    <t>XINDIAN BAI GUI #18/31 (4450NAR)</t>
  </si>
  <si>
    <t>TJ JATI IMM DEC #PROSPECT 01</t>
  </si>
  <si>
    <t>SHENHUA 5200NAR TS 2% #12/12</t>
  </si>
  <si>
    <t>TOSOH #10</t>
  </si>
  <si>
    <t>XINDIAN BAI GUI #19/31 (4450NAR)</t>
  </si>
  <si>
    <t>ENR BANGLADESH #PROSPECT2</t>
  </si>
  <si>
    <t>TJ JATI BEK DEC #PROSPECT</t>
  </si>
  <si>
    <t>XINDIAN BAI GUI 5200NAR #16/8</t>
  </si>
  <si>
    <t>SMI IMM DEC #PROSPECT</t>
  </si>
  <si>
    <t>TJ JATI IMM DEC #PROSPECT 02</t>
  </si>
  <si>
    <t>FREEPORT #7/8</t>
  </si>
  <si>
    <t>JERA #9/12 (TS rej 1.3%)</t>
  </si>
  <si>
    <t>EWR DEC #PROSPECT</t>
  </si>
  <si>
    <t>PEC IMM BARGE DEC #01</t>
  </si>
  <si>
    <t>PEC IMM BARGE DEC #02</t>
  </si>
  <si>
    <t>SEMEN JAWA #PROSPECT4</t>
  </si>
  <si>
    <t>INDOCEMENT IMM #10</t>
  </si>
  <si>
    <t>EUP #11/12</t>
  </si>
  <si>
    <t>EUP #12/12</t>
  </si>
  <si>
    <t>EPDC #6/6</t>
  </si>
  <si>
    <t>XINDIAN BAI GUI 5200NAR 1.2% max #3/3</t>
  </si>
  <si>
    <t>XINDIAN 5200NAR TS 1.5% max #MO</t>
  </si>
  <si>
    <t>NIPPON COKE</t>
  </si>
  <si>
    <t>NIPPON COKE #BO</t>
  </si>
  <si>
    <t>SHENHUA 5200NAR #12/18</t>
  </si>
  <si>
    <t>ZHEJIANG 5200NAR #5/5</t>
  </si>
  <si>
    <t>KOBE #05</t>
  </si>
  <si>
    <t>THERMA LUZON 5700GAR TS 0.6% max #04</t>
  </si>
  <si>
    <t>ZHEJIANG 5200NAR TS 1% max #11/11</t>
  </si>
  <si>
    <t>TOHOKU #5/5</t>
  </si>
  <si>
    <t>SHENHUA 5200NAR #13/18</t>
  </si>
  <si>
    <t>ADANI 5500GAR TS 1% #8/8</t>
  </si>
  <si>
    <t>GCNS #PROSPECT 001</t>
  </si>
  <si>
    <t>KANSAI #3/3</t>
  </si>
  <si>
    <t>TENAGA NATIONAL BERHAD (6150 GAR)</t>
  </si>
  <si>
    <t>JIMAH #PROSPECT</t>
  </si>
  <si>
    <t>HO PING POWER #PROSPECT</t>
  </si>
  <si>
    <t>ENEL</t>
  </si>
  <si>
    <t>ENEL #PROSPECT</t>
  </si>
  <si>
    <t>INDOCEMENT (2024)</t>
  </si>
  <si>
    <t>INDOCEMENT TCM #07</t>
  </si>
  <si>
    <t>Bunyut</t>
  </si>
  <si>
    <t>CILACAP #PROSPECT 01</t>
  </si>
  <si>
    <t>CILACAP #PROSPECT 02</t>
  </si>
  <si>
    <t>CILACAP #PROSPECT 03</t>
  </si>
  <si>
    <t>XINDIAN BAI GUI 5200NAR #MO</t>
  </si>
  <si>
    <t>XINDIAN BAI GUI #20/31 (4450NAR)</t>
  </si>
  <si>
    <t xml:space="preserve">TJ JATI IMM (2025 NEW) </t>
  </si>
  <si>
    <t>EQUENTIA NATURAL RESOURCES (5600GAR/TS 2.8% max)</t>
  </si>
  <si>
    <t>XINDIAN BAI GUI #21/31 (4450NAR)</t>
  </si>
  <si>
    <t>SMI GROUP - IMM (5600GAR/TS 1.5% max)</t>
  </si>
  <si>
    <t>XINDIAN BAI GUI #22/31 (4450NAR)</t>
  </si>
  <si>
    <t xml:space="preserve">FREEPORT </t>
  </si>
  <si>
    <t>XINDIAN BAI GUI #23/31 (4450NAR)</t>
  </si>
  <si>
    <t>CHINA BAI GUI (XINDIAN) - (5500NAR/TS max 1.7%)</t>
  </si>
  <si>
    <t>XINDIAN 5500NAR TS 1.7% max #MO</t>
  </si>
  <si>
    <t>SMI BEK 5600GAR DEC #01</t>
  </si>
  <si>
    <t>GCNS #PROSPECT 02</t>
  </si>
  <si>
    <t>JBG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</si>
</sst>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m/d;@"/>
    <numFmt numFmtId="165" formatCode="m/d/yy\ h:mm;@"/>
    <numFmt numFmtId="166" formatCode="0.00_);[Red]\(0.00\)"/>
    <numFmt numFmtId="167" formatCode="mmm"/>
    <numFmt numFmtId="168" formatCode="#,##0_);[Red]\(#,##0\)"/>
    <numFmt numFmtId="169" formatCode="_(&quot;$&quot;* #,##0.00_);_(&quot;$&quot;* \(#,##0.00\);_(&quot;$&quot;* &quot;-&quot;??_);_(@_)"/>
    <numFmt numFmtId="170" formatCode="[$-409]dd\-mmm\-yy;@"/>
    <numFmt numFmtId="171" formatCode="000000"/>
    <numFmt numFmtId="172" formatCode="d\.mmm"/>
    <numFmt numFmtId="173" formatCode="[$-409]mmmm\-yy;@"/>
    <numFmt numFmtId="174" formatCode="&quot;฿&quot;#,##0.00;[Red]\-&quot;฿&quot;#,##0.00"/>
    <numFmt numFmtId="175" formatCode="_-&quot;฿&quot;* #,##0.00_-;\-&quot;฿&quot;* #,##0.00_-;_-&quot;฿&quot;* &quot;-&quot;??_-;_-@_-"/>
    <numFmt numFmtId="176" formatCode="_-&quot;฿&quot;* #,##0_-;\-&quot;฿&quot;* #,##0_-;_-&quot;฿&quot;* &quot;-&quot;_-;_-@_-"/>
    <numFmt numFmtId="177" formatCode="#,##0\ &quot;FB&quot;;\-#,##0\ &quot;FB&quot;"/>
    <numFmt numFmtId="178" formatCode="&quot;฿&quot;#,##0;\-&quot;฿&quot;#,##0"/>
    <numFmt numFmtId="179" formatCode="mmmm\ d\,\ yyyy"/>
    <numFmt numFmtId="180" formatCode="0.0000E+00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color rgb="FF0070C0"/>
      <name val="Verdana"/>
      <family val="2"/>
    </font>
    <font>
      <sz val="9"/>
      <color rgb="FFFF0000"/>
      <name val="Verdana"/>
      <family val="2"/>
    </font>
    <font>
      <b/>
      <sz val="9"/>
      <color rgb="FF000000"/>
      <name val="Verdana"/>
      <family val="2"/>
    </font>
    <font>
      <sz val="10"/>
      <name val="Arial"/>
      <family val="2"/>
    </font>
    <font>
      <sz val="12"/>
      <name val="Arial"/>
      <family val="2"/>
      <charset val="204"/>
    </font>
    <font>
      <sz val="11"/>
      <color indexed="8"/>
      <name val="Calibri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¹ÙÅÁÃ¼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name val="Times New Roman"/>
      <family val="1"/>
    </font>
    <font>
      <sz val="9"/>
      <color rgb="FF00B050"/>
      <name val="Verdana"/>
      <family val="2"/>
    </font>
    <font>
      <sz val="9"/>
      <color theme="8" tint="-0.249977111117893"/>
      <name val="Verdana"/>
      <family val="2"/>
    </font>
    <font>
      <sz val="9"/>
      <color theme="4"/>
      <name val="Verdana"/>
      <family val="2"/>
    </font>
    <font>
      <sz val="9"/>
      <name val="Verdana"/>
      <family val="2"/>
    </font>
    <font>
      <sz val="9"/>
      <color theme="5"/>
      <name val="Verdana"/>
      <family val="2"/>
    </font>
    <font>
      <sz val="9"/>
      <color rgb="FF000000"/>
      <name val="Verdana"/>
      <family val="2"/>
    </font>
    <font>
      <sz val="9"/>
      <color rgb="FF0070C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sz val="9"/>
      <color theme="4"/>
      <name val="Verdana"/>
      <family val="2"/>
    </font>
    <font>
      <sz val="9"/>
      <color rgb="FF000000"/>
      <name val="Verdana"/>
      <family val="2"/>
    </font>
    <font>
      <sz val="9"/>
      <color rgb="FF0070C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sz val="9"/>
      <color theme="4"/>
      <name val="Verdana"/>
      <family val="2"/>
    </font>
    <font>
      <sz val="9"/>
      <color rgb="FF000000"/>
      <name val="Verdana"/>
      <family val="2"/>
    </font>
    <font>
      <sz val="9"/>
      <color rgb="FF00B050"/>
      <name val="Verdana"/>
      <family val="2"/>
    </font>
    <font>
      <sz val="9"/>
      <name val="Verdana"/>
    </font>
    <font>
      <sz val="9"/>
      <color rgb="FF0070C0"/>
      <name val="Verdana"/>
    </font>
    <font>
      <sz val="9"/>
      <color theme="1"/>
      <name val="Verdana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CE4D6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141">
    <xf numFmtId="0" fontId="0" fillId="0" borderId="0"/>
    <xf numFmtId="9" fontId="2" fillId="0" borderId="0"/>
    <xf numFmtId="43" fontId="2" fillId="0" borderId="0"/>
    <xf numFmtId="169" fontId="2" fillId="0" borderId="0"/>
    <xf numFmtId="170" fontId="10" fillId="0" borderId="0"/>
    <xf numFmtId="43" fontId="10" fillId="0" borderId="0"/>
    <xf numFmtId="170" fontId="10" fillId="0" borderId="0"/>
    <xf numFmtId="43" fontId="10" fillId="0" borderId="0"/>
    <xf numFmtId="43" fontId="2" fillId="0" borderId="0"/>
    <xf numFmtId="41" fontId="2" fillId="0" borderId="0"/>
    <xf numFmtId="41" fontId="2" fillId="0" borderId="0"/>
    <xf numFmtId="0" fontId="10" fillId="0" borderId="0"/>
    <xf numFmtId="43" fontId="10" fillId="0" borderId="0"/>
    <xf numFmtId="0" fontId="11" fillId="0" borderId="0"/>
    <xf numFmtId="0" fontId="2" fillId="0" borderId="0"/>
    <xf numFmtId="43" fontId="1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171" fontId="10" fillId="0" borderId="0">
      <protection locked="0"/>
    </xf>
    <xf numFmtId="172" fontId="10" fillId="0" borderId="0">
      <protection locked="0"/>
    </xf>
    <xf numFmtId="171" fontId="10" fillId="0" borderId="0">
      <protection locked="0"/>
    </xf>
    <xf numFmtId="172" fontId="10" fillId="0" borderId="0">
      <protection locked="0"/>
    </xf>
    <xf numFmtId="9" fontId="29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4" fontId="10" fillId="0" borderId="0"/>
    <xf numFmtId="175" fontId="10" fillId="0" borderId="0"/>
    <xf numFmtId="176" fontId="10" fillId="0" borderId="0"/>
    <xf numFmtId="177" fontId="10" fillId="0" borderId="0"/>
    <xf numFmtId="173" fontId="17" fillId="10" borderId="0"/>
    <xf numFmtId="173" fontId="29" fillId="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0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5" fillId="0" borderId="26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1" fontId="10" fillId="0" borderId="0">
      <protection locked="0"/>
    </xf>
    <xf numFmtId="171" fontId="10" fillId="0" borderId="0">
      <protection locked="0"/>
    </xf>
    <xf numFmtId="173" fontId="23" fillId="14" borderId="29"/>
    <xf numFmtId="173" fontId="24" fillId="0" borderId="8"/>
    <xf numFmtId="173" fontId="25" fillId="29" borderId="0"/>
    <xf numFmtId="180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0" fontId="14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0" fontId="10" fillId="0" borderId="0"/>
    <xf numFmtId="173" fontId="10" fillId="0" borderId="0"/>
    <xf numFmtId="0" fontId="11" fillId="0" borderId="0"/>
    <xf numFmtId="0" fontId="10" fillId="0" borderId="0"/>
    <xf numFmtId="0" fontId="2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7" fillId="0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0" fontId="10" fillId="0" borderId="0"/>
    <xf numFmtId="0" fontId="10" fillId="0" borderId="0"/>
    <xf numFmtId="43" fontId="10" fillId="0" borderId="0"/>
    <xf numFmtId="9" fontId="10" fillId="0" borderId="0"/>
    <xf numFmtId="0" fontId="1" fillId="0" borderId="0"/>
    <xf numFmtId="0" fontId="10" fillId="0" borderId="0"/>
    <xf numFmtId="43" fontId="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43" fontId="2" fillId="0" borderId="0"/>
    <xf numFmtId="43" fontId="2" fillId="0" borderId="0"/>
    <xf numFmtId="41" fontId="2" fillId="0" borderId="0"/>
    <xf numFmtId="0" fontId="1" fillId="0" borderId="0"/>
    <xf numFmtId="43" fontId="1" fillId="0" borderId="0"/>
    <xf numFmtId="43" fontId="2" fillId="0" borderId="0"/>
    <xf numFmtId="43" fontId="10" fillId="0" borderId="0"/>
    <xf numFmtId="43" fontId="10" fillId="0" borderId="0"/>
    <xf numFmtId="43" fontId="10" fillId="0" borderId="0"/>
    <xf numFmtId="43" fontId="12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173" fontId="23" fillId="14" borderId="29"/>
    <xf numFmtId="173" fontId="15" fillId="0" borderId="26">
      <alignment horizontal="left" vertical="center"/>
    </xf>
    <xf numFmtId="173" fontId="18" fillId="27" borderId="29"/>
    <xf numFmtId="170" fontId="10" fillId="0" borderId="0"/>
    <xf numFmtId="41" fontId="2" fillId="0" borderId="0"/>
    <xf numFmtId="41" fontId="10" fillId="0" borderId="0"/>
    <xf numFmtId="170" fontId="10" fillId="0" borderId="0"/>
    <xf numFmtId="43" fontId="10" fillId="0" borderId="0"/>
    <xf numFmtId="41" fontId="10" fillId="0" borderId="0"/>
    <xf numFmtId="9" fontId="1" fillId="0" borderId="0"/>
    <xf numFmtId="0" fontId="2" fillId="0" borderId="0"/>
    <xf numFmtId="0" fontId="10" fillId="0" borderId="0"/>
    <xf numFmtId="170" fontId="10" fillId="0" borderId="0"/>
    <xf numFmtId="43" fontId="2" fillId="0" borderId="0"/>
    <xf numFmtId="0" fontId="10" fillId="0" borderId="0"/>
    <xf numFmtId="0" fontId="2" fillId="0" borderId="0"/>
    <xf numFmtId="9" fontId="2" fillId="0" borderId="0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0" fillId="30" borderId="30"/>
    <xf numFmtId="173" fontId="36" fillId="27" borderId="29"/>
    <xf numFmtId="173" fontId="23" fillId="14" borderId="29"/>
    <xf numFmtId="173" fontId="18" fillId="27" borderId="29"/>
    <xf numFmtId="173" fontId="43" fillId="0" borderId="32"/>
    <xf numFmtId="173" fontId="18" fillId="27" borderId="29"/>
    <xf numFmtId="173" fontId="10" fillId="30" borderId="30"/>
    <xf numFmtId="173" fontId="15" fillId="0" borderId="26">
      <alignment horizontal="left" vertical="center"/>
    </xf>
    <xf numFmtId="173" fontId="23" fillId="14" borderId="29"/>
    <xf numFmtId="173" fontId="23" fillId="14" borderId="29"/>
    <xf numFmtId="173" fontId="26" fillId="27" borderId="31"/>
    <xf numFmtId="173" fontId="41" fillId="14" borderId="29"/>
    <xf numFmtId="173" fontId="43" fillId="0" borderId="32"/>
    <xf numFmtId="173" fontId="10" fillId="30" borderId="30"/>
    <xf numFmtId="173" fontId="26" fillId="27" borderId="31"/>
    <xf numFmtId="173" fontId="10" fillId="30" borderId="30"/>
    <xf numFmtId="173" fontId="35" fillId="27" borderId="31"/>
    <xf numFmtId="173" fontId="15" fillId="0" borderId="26">
      <alignment horizontal="left" vertical="center"/>
    </xf>
    <xf numFmtId="173" fontId="35" fillId="27" borderId="31"/>
    <xf numFmtId="173" fontId="36" fillId="27" borderId="29"/>
    <xf numFmtId="173" fontId="18" fillId="27" borderId="29"/>
    <xf numFmtId="173" fontId="41" fillId="14" borderId="29"/>
    <xf numFmtId="173" fontId="43" fillId="0" borderId="32"/>
    <xf numFmtId="173" fontId="26" fillId="27" borderId="31"/>
    <xf numFmtId="173" fontId="10" fillId="30" borderId="30"/>
    <xf numFmtId="173" fontId="35" fillId="27" borderId="31"/>
    <xf numFmtId="173" fontId="10" fillId="30" borderId="30"/>
    <xf numFmtId="173" fontId="36" fillId="27" borderId="29"/>
    <xf numFmtId="173" fontId="41" fillId="14" borderId="29"/>
    <xf numFmtId="173" fontId="15" fillId="0" borderId="26">
      <alignment horizontal="left" vertical="center"/>
    </xf>
    <xf numFmtId="173" fontId="35" fillId="27" borderId="31"/>
    <xf numFmtId="173" fontId="26" fillId="27" borderId="31"/>
    <xf numFmtId="173" fontId="10" fillId="30" borderId="30"/>
    <xf numFmtId="173" fontId="10" fillId="30" borderId="30"/>
    <xf numFmtId="173" fontId="18" fillId="27" borderId="29"/>
    <xf numFmtId="173" fontId="43" fillId="0" borderId="32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43" fillId="0" borderId="32"/>
    <xf numFmtId="173" fontId="36" fillId="27" borderId="29"/>
    <xf numFmtId="173" fontId="35" fillId="27" borderId="31"/>
    <xf numFmtId="173" fontId="41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173" fontId="23" fillId="14" borderId="29"/>
    <xf numFmtId="173" fontId="36" fillId="27" borderId="29"/>
    <xf numFmtId="173" fontId="18" fillId="27" borderId="29"/>
    <xf numFmtId="173" fontId="10" fillId="30" borderId="30"/>
    <xf numFmtId="173" fontId="26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173" fontId="23" fillId="14" borderId="29"/>
    <xf numFmtId="173" fontId="26" fillId="27" borderId="31"/>
    <xf numFmtId="173" fontId="15" fillId="0" borderId="26">
      <alignment horizontal="left" vertical="center"/>
    </xf>
    <xf numFmtId="173" fontId="10" fillId="30" borderId="30"/>
    <xf numFmtId="173" fontId="23" fillId="14" borderId="29"/>
    <xf numFmtId="173" fontId="15" fillId="0" borderId="26">
      <alignment horizontal="left" vertical="center"/>
    </xf>
    <xf numFmtId="173" fontId="15" fillId="0" borderId="26">
      <alignment horizontal="left" vertical="center"/>
    </xf>
    <xf numFmtId="173" fontId="41" fillId="14" borderId="29"/>
    <xf numFmtId="173" fontId="18" fillId="27" borderId="29"/>
    <xf numFmtId="173" fontId="35" fillId="27" borderId="31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0" fillId="30" borderId="30"/>
    <xf numFmtId="173" fontId="26" fillId="27" borderId="31"/>
    <xf numFmtId="173" fontId="35" fillId="27" borderId="31"/>
    <xf numFmtId="173" fontId="43" fillId="0" borderId="32"/>
    <xf numFmtId="173" fontId="10" fillId="30" borderId="3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173" fontId="18" fillId="27" borderId="29"/>
    <xf numFmtId="173" fontId="15" fillId="0" borderId="26">
      <alignment horizontal="left" vertical="center"/>
    </xf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43" fontId="10" fillId="0" borderId="0"/>
    <xf numFmtId="173" fontId="18" fillId="27" borderId="29"/>
    <xf numFmtId="173" fontId="23" fillId="14" borderId="29"/>
    <xf numFmtId="173" fontId="10" fillId="30" borderId="30"/>
    <xf numFmtId="173" fontId="26" fillId="27" borderId="31"/>
    <xf numFmtId="173" fontId="35" fillId="27" borderId="31"/>
    <xf numFmtId="173" fontId="36" fillId="27" borderId="29"/>
    <xf numFmtId="173" fontId="41" fillId="14" borderId="29"/>
    <xf numFmtId="173" fontId="43" fillId="0" borderId="32"/>
    <xf numFmtId="173" fontId="10" fillId="30" borderId="3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43" fontId="10" fillId="0" borderId="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43" fontId="10" fillId="0" borderId="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43" fontId="10" fillId="0" borderId="0"/>
    <xf numFmtId="43" fontId="2" fillId="0" borderId="0"/>
    <xf numFmtId="9" fontId="2" fillId="0" borderId="0"/>
    <xf numFmtId="43" fontId="10" fillId="0" borderId="0"/>
    <xf numFmtId="43" fontId="10" fillId="0" borderId="0"/>
    <xf numFmtId="43" fontId="2" fillId="0" borderId="0"/>
    <xf numFmtId="41" fontId="2" fillId="0" borderId="0"/>
    <xf numFmtId="43" fontId="10" fillId="0" borderId="0"/>
    <xf numFmtId="43" fontId="12" fillId="0" borderId="0"/>
    <xf numFmtId="173" fontId="12" fillId="9" borderId="0"/>
    <xf numFmtId="173" fontId="12" fillId="10" borderId="0"/>
    <xf numFmtId="173" fontId="12" fillId="11" borderId="0"/>
    <xf numFmtId="173" fontId="12" fillId="12" borderId="0"/>
    <xf numFmtId="173" fontId="12" fillId="13" borderId="0"/>
    <xf numFmtId="173" fontId="12" fillId="14" borderId="0"/>
    <xf numFmtId="173" fontId="30" fillId="9" borderId="0"/>
    <xf numFmtId="173" fontId="30" fillId="10" borderId="0"/>
    <xf numFmtId="173" fontId="30" fillId="11" borderId="0"/>
    <xf numFmtId="173" fontId="30" fillId="12" borderId="0"/>
    <xf numFmtId="173" fontId="30" fillId="13" borderId="0"/>
    <xf numFmtId="173" fontId="30" fillId="14" borderId="0"/>
    <xf numFmtId="173" fontId="12" fillId="15" borderId="0"/>
    <xf numFmtId="173" fontId="12" fillId="16" borderId="0"/>
    <xf numFmtId="173" fontId="12" fillId="17" borderId="0"/>
    <xf numFmtId="173" fontId="12" fillId="12" borderId="0"/>
    <xf numFmtId="173" fontId="12" fillId="15" borderId="0"/>
    <xf numFmtId="173" fontId="12" fillId="18" borderId="0"/>
    <xf numFmtId="173" fontId="30" fillId="15" borderId="0"/>
    <xf numFmtId="173" fontId="30" fillId="16" borderId="0"/>
    <xf numFmtId="173" fontId="30" fillId="17" borderId="0"/>
    <xf numFmtId="173" fontId="30" fillId="12" borderId="0"/>
    <xf numFmtId="173" fontId="30" fillId="15" borderId="0"/>
    <xf numFmtId="173" fontId="30" fillId="18" borderId="0"/>
    <xf numFmtId="173" fontId="16" fillId="19" borderId="0"/>
    <xf numFmtId="173" fontId="16" fillId="16" borderId="0"/>
    <xf numFmtId="173" fontId="16" fillId="17" borderId="0"/>
    <xf numFmtId="173" fontId="16" fillId="20" borderId="0"/>
    <xf numFmtId="173" fontId="16" fillId="21" borderId="0"/>
    <xf numFmtId="173" fontId="16" fillId="22" borderId="0"/>
    <xf numFmtId="173" fontId="31" fillId="19" borderId="0"/>
    <xf numFmtId="173" fontId="31" fillId="16" borderId="0"/>
    <xf numFmtId="173" fontId="31" fillId="17" borderId="0"/>
    <xf numFmtId="173" fontId="31" fillId="20" borderId="0"/>
    <xf numFmtId="173" fontId="31" fillId="21" borderId="0"/>
    <xf numFmtId="173" fontId="31" fillId="22" borderId="0"/>
    <xf numFmtId="173" fontId="16" fillId="23" borderId="0"/>
    <xf numFmtId="173" fontId="16" fillId="24" borderId="0"/>
    <xf numFmtId="173" fontId="16" fillId="25" borderId="0"/>
    <xf numFmtId="173" fontId="16" fillId="20" borderId="0"/>
    <xf numFmtId="173" fontId="16" fillId="21" borderId="0"/>
    <xf numFmtId="173" fontId="16" fillId="26" borderId="0"/>
    <xf numFmtId="173" fontId="17" fillId="10" borderId="0"/>
    <xf numFmtId="173" fontId="18" fillId="27" borderId="29"/>
    <xf numFmtId="173" fontId="19" fillId="28" borderId="4"/>
    <xf numFmtId="43" fontId="10" fillId="0" borderId="0"/>
    <xf numFmtId="43" fontId="10" fillId="0" borderId="0"/>
    <xf numFmtId="3" fontId="10" fillId="0" borderId="0"/>
    <xf numFmtId="178" fontId="10" fillId="0" borderId="0"/>
    <xf numFmtId="179" fontId="10" fillId="0" borderId="0"/>
    <xf numFmtId="173" fontId="20" fillId="0" borderId="0"/>
    <xf numFmtId="2" fontId="10" fillId="0" borderId="0"/>
    <xf numFmtId="173" fontId="21" fillId="11" borderId="0"/>
    <xf numFmtId="173" fontId="15" fillId="0" borderId="3">
      <alignment horizontal="left" vertical="center"/>
    </xf>
    <xf numFmtId="173" fontId="13" fillId="0" borderId="0"/>
    <xf numFmtId="173" fontId="15" fillId="0" borderId="0"/>
    <xf numFmtId="173" fontId="22" fillId="0" borderId="7"/>
    <xf numFmtId="173" fontId="22" fillId="0" borderId="0"/>
    <xf numFmtId="173" fontId="23" fillId="14" borderId="29"/>
    <xf numFmtId="173" fontId="24" fillId="0" borderId="8"/>
    <xf numFmtId="173" fontId="25" fillId="29" borderId="0"/>
    <xf numFmtId="173" fontId="10" fillId="30" borderId="30"/>
    <xf numFmtId="173" fontId="26" fillId="27" borderId="31"/>
    <xf numFmtId="9" fontId="10" fillId="0" borderId="0"/>
    <xf numFmtId="9" fontId="10" fillId="0" borderId="0"/>
    <xf numFmtId="9" fontId="11" fillId="0" borderId="0"/>
    <xf numFmtId="173" fontId="27" fillId="0" borderId="0"/>
    <xf numFmtId="173" fontId="10" fillId="0" borderId="9"/>
    <xf numFmtId="173" fontId="28" fillId="0" borderId="0"/>
    <xf numFmtId="173" fontId="32" fillId="28" borderId="4"/>
    <xf numFmtId="173" fontId="33" fillId="0" borderId="8"/>
    <xf numFmtId="173" fontId="34" fillId="10" borderId="0"/>
    <xf numFmtId="173" fontId="35" fillId="27" borderId="31"/>
    <xf numFmtId="173" fontId="36" fillId="27" borderId="29"/>
    <xf numFmtId="173" fontId="37" fillId="0" borderId="0"/>
    <xf numFmtId="173" fontId="38" fillId="0" borderId="0"/>
    <xf numFmtId="173" fontId="39" fillId="0" borderId="0"/>
    <xf numFmtId="173" fontId="40" fillId="11" borderId="0"/>
    <xf numFmtId="173" fontId="41" fillId="14" borderId="29"/>
    <xf numFmtId="173" fontId="42" fillId="29" borderId="0"/>
    <xf numFmtId="173" fontId="43" fillId="0" borderId="32"/>
    <xf numFmtId="173" fontId="31" fillId="23" borderId="0"/>
    <xf numFmtId="173" fontId="31" fillId="24" borderId="0"/>
    <xf numFmtId="173" fontId="31" fillId="25" borderId="0"/>
    <xf numFmtId="173" fontId="31" fillId="20" borderId="0"/>
    <xf numFmtId="173" fontId="31" fillId="21" borderId="0"/>
    <xf numFmtId="173" fontId="31" fillId="26" borderId="0"/>
    <xf numFmtId="173" fontId="10" fillId="30" borderId="30"/>
    <xf numFmtId="173" fontId="44" fillId="0" borderId="5"/>
    <xf numFmtId="173" fontId="45" fillId="0" borderId="6"/>
    <xf numFmtId="173" fontId="46" fillId="0" borderId="7"/>
    <xf numFmtId="173" fontId="46" fillId="0" borderId="0"/>
    <xf numFmtId="43" fontId="10" fillId="0" borderId="0"/>
    <xf numFmtId="43" fontId="10" fillId="0" borderId="0"/>
    <xf numFmtId="43" fontId="10" fillId="0" borderId="0"/>
    <xf numFmtId="9" fontId="10" fillId="0" borderId="0"/>
    <xf numFmtId="0" fontId="10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10" fillId="0" borderId="0"/>
    <xf numFmtId="43" fontId="10" fillId="0" borderId="0"/>
    <xf numFmtId="41" fontId="10" fillId="0" borderId="0"/>
    <xf numFmtId="9" fontId="1" fillId="0" borderId="0"/>
    <xf numFmtId="43" fontId="2" fillId="0" borderId="0"/>
    <xf numFmtId="9" fontId="2" fillId="0" borderId="0"/>
    <xf numFmtId="43" fontId="10" fillId="0" borderId="0"/>
    <xf numFmtId="43" fontId="2" fillId="0" borderId="0"/>
  </cellStyleXfs>
  <cellXfs count="331">
    <xf numFmtId="0" fontId="0" fillId="0" borderId="0" xfId="0"/>
    <xf numFmtId="164" fontId="3" fillId="2" borderId="0" xfId="0" applyNumberFormat="1" applyFont="1" applyFill="1"/>
    <xf numFmtId="0" fontId="3" fillId="0" borderId="0" xfId="0" applyFont="1"/>
    <xf numFmtId="165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0" fontId="0" fillId="3" borderId="0" xfId="0" applyFill="1"/>
    <xf numFmtId="166" fontId="3" fillId="0" borderId="0" xfId="0" applyNumberFormat="1" applyFont="1"/>
    <xf numFmtId="0" fontId="5" fillId="2" borderId="0" xfId="0" applyFont="1" applyFill="1"/>
    <xf numFmtId="165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166" fontId="5" fillId="2" borderId="0" xfId="0" applyNumberFormat="1" applyFont="1" applyFill="1"/>
    <xf numFmtId="166" fontId="6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8" fontId="4" fillId="0" borderId="1" xfId="0" applyNumberFormat="1" applyFont="1" applyBorder="1"/>
    <xf numFmtId="2" fontId="7" fillId="4" borderId="2" xfId="1" applyNumberFormat="1" applyFont="1" applyFill="1" applyBorder="1" applyAlignment="1">
      <alignment horizontal="center" vertical="center"/>
    </xf>
    <xf numFmtId="0" fontId="9" fillId="8" borderId="0" xfId="0" applyFont="1" applyFill="1"/>
    <xf numFmtId="3" fontId="9" fillId="8" borderId="0" xfId="0" applyNumberFormat="1" applyFont="1" applyFill="1"/>
    <xf numFmtId="3" fontId="9" fillId="8" borderId="0" xfId="0" applyNumberFormat="1" applyFont="1" applyFill="1" applyAlignment="1">
      <alignment horizontal="center" vertical="center"/>
    </xf>
    <xf numFmtId="3" fontId="7" fillId="6" borderId="12" xfId="0" applyNumberFormat="1" applyFont="1" applyFill="1" applyBorder="1"/>
    <xf numFmtId="38" fontId="7" fillId="0" borderId="12" xfId="0" applyNumberFormat="1" applyFont="1" applyBorder="1" applyAlignment="1">
      <alignment horizontal="center" vertical="center"/>
    </xf>
    <xf numFmtId="38" fontId="7" fillId="0" borderId="10" xfId="0" applyNumberFormat="1" applyFont="1" applyBorder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38" fontId="7" fillId="7" borderId="1" xfId="0" applyNumberFormat="1" applyFont="1" applyFill="1" applyBorder="1" applyAlignment="1">
      <alignment horizontal="center" vertical="center"/>
    </xf>
    <xf numFmtId="166" fontId="7" fillId="6" borderId="11" xfId="1" applyNumberFormat="1" applyFont="1" applyFill="1" applyBorder="1" applyAlignment="1">
      <alignment horizontal="center" vertical="center"/>
    </xf>
    <xf numFmtId="166" fontId="7" fillId="6" borderId="11" xfId="0" applyNumberFormat="1" applyFont="1" applyFill="1" applyBorder="1"/>
    <xf numFmtId="166" fontId="7" fillId="6" borderId="12" xfId="0" applyNumberFormat="1" applyFont="1" applyFill="1" applyBorder="1"/>
    <xf numFmtId="166" fontId="7" fillId="31" borderId="11" xfId="0" applyNumberFormat="1" applyFont="1" applyFill="1" applyBorder="1"/>
    <xf numFmtId="166" fontId="7" fillId="31" borderId="12" xfId="0" applyNumberFormat="1" applyFont="1" applyFill="1" applyBorder="1"/>
    <xf numFmtId="0" fontId="9" fillId="8" borderId="0" xfId="0" applyFont="1" applyFill="1" applyAlignment="1">
      <alignment horizontal="center"/>
    </xf>
    <xf numFmtId="2" fontId="7" fillId="4" borderId="11" xfId="1" applyNumberFormat="1" applyFont="1" applyFill="1" applyBorder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1" fontId="4" fillId="0" borderId="12" xfId="0" applyNumberFormat="1" applyFont="1" applyBorder="1"/>
    <xf numFmtId="38" fontId="7" fillId="32" borderId="12" xfId="0" applyNumberFormat="1" applyFont="1" applyFill="1" applyBorder="1" applyAlignment="1">
      <alignment horizontal="center" vertical="center"/>
    </xf>
    <xf numFmtId="38" fontId="7" fillId="6" borderId="1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2" fontId="7" fillId="6" borderId="11" xfId="1" applyNumberFormat="1" applyFont="1" applyFill="1" applyBorder="1" applyAlignment="1">
      <alignment horizontal="center" vertical="center"/>
    </xf>
    <xf numFmtId="166" fontId="7" fillId="6" borderId="14" xfId="0" applyNumberFormat="1" applyFont="1" applyFill="1" applyBorder="1"/>
    <xf numFmtId="38" fontId="7" fillId="0" borderId="15" xfId="0" applyNumberFormat="1" applyFont="1" applyBorder="1" applyAlignment="1">
      <alignment horizontal="center" vertical="center"/>
    </xf>
    <xf numFmtId="3" fontId="4" fillId="6" borderId="15" xfId="0" applyNumberFormat="1" applyFont="1" applyFill="1" applyBorder="1"/>
    <xf numFmtId="3" fontId="7" fillId="6" borderId="15" xfId="0" applyNumberFormat="1" applyFont="1" applyFill="1" applyBorder="1"/>
    <xf numFmtId="9" fontId="7" fillId="4" borderId="16" xfId="1" applyFont="1" applyFill="1" applyBorder="1"/>
    <xf numFmtId="38" fontId="7" fillId="0" borderId="16" xfId="0" applyNumberFormat="1" applyFont="1" applyBorder="1" applyAlignment="1">
      <alignment horizontal="center" vertical="center"/>
    </xf>
    <xf numFmtId="38" fontId="7" fillId="34" borderId="16" xfId="0" applyNumberFormat="1" applyFont="1" applyFill="1" applyBorder="1" applyAlignment="1">
      <alignment horizontal="center" vertical="center"/>
    </xf>
    <xf numFmtId="38" fontId="50" fillId="0" borderId="16" xfId="0" applyNumberFormat="1" applyFont="1" applyBorder="1"/>
    <xf numFmtId="164" fontId="7" fillId="0" borderId="16" xfId="0" applyNumberFormat="1" applyFont="1" applyBorder="1"/>
    <xf numFmtId="9" fontId="8" fillId="4" borderId="16" xfId="1" applyFont="1" applyFill="1" applyBorder="1"/>
    <xf numFmtId="165" fontId="7" fillId="4" borderId="16" xfId="0" applyNumberFormat="1" applyFont="1" applyFill="1" applyBorder="1"/>
    <xf numFmtId="9" fontId="4" fillId="4" borderId="16" xfId="1" applyFont="1" applyFill="1" applyBorder="1"/>
    <xf numFmtId="40" fontId="3" fillId="0" borderId="16" xfId="0" applyNumberFormat="1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165" fontId="7" fillId="3" borderId="16" xfId="0" applyNumberFormat="1" applyFont="1" applyFill="1" applyBorder="1"/>
    <xf numFmtId="9" fontId="49" fillId="4" borderId="16" xfId="1" applyFont="1" applyFill="1" applyBorder="1"/>
    <xf numFmtId="40" fontId="3" fillId="35" borderId="16" xfId="0" applyNumberFormat="1" applyFont="1" applyFill="1" applyBorder="1" applyAlignment="1">
      <alignment horizontal="center" vertical="center"/>
    </xf>
    <xf numFmtId="38" fontId="3" fillId="35" borderId="16" xfId="0" applyNumberFormat="1" applyFont="1" applyFill="1" applyBorder="1" applyAlignment="1">
      <alignment horizontal="center" vertical="center"/>
    </xf>
    <xf numFmtId="9" fontId="50" fillId="4" borderId="16" xfId="1" applyFont="1" applyFill="1" applyBorder="1"/>
    <xf numFmtId="38" fontId="7" fillId="33" borderId="16" xfId="0" applyNumberFormat="1" applyFont="1" applyFill="1" applyBorder="1" applyAlignment="1">
      <alignment horizontal="center" vertical="center"/>
    </xf>
    <xf numFmtId="165" fontId="48" fillId="3" borderId="16" xfId="0" applyNumberFormat="1" applyFont="1" applyFill="1" applyBorder="1"/>
    <xf numFmtId="0" fontId="7" fillId="0" borderId="16" xfId="0" applyFont="1" applyBorder="1"/>
    <xf numFmtId="164" fontId="7" fillId="37" borderId="16" xfId="0" applyNumberFormat="1" applyFont="1" applyFill="1" applyBorder="1"/>
    <xf numFmtId="0" fontId="7" fillId="36" borderId="16" xfId="0" applyFont="1" applyFill="1" applyBorder="1"/>
    <xf numFmtId="38" fontId="7" fillId="32" borderId="16" xfId="0" applyNumberFormat="1" applyFont="1" applyFill="1" applyBorder="1" applyAlignment="1">
      <alignment horizontal="center" vertical="center"/>
    </xf>
    <xf numFmtId="49" fontId="4" fillId="5" borderId="16" xfId="0" applyNumberFormat="1" applyFont="1" applyFill="1" applyBorder="1" applyAlignment="1">
      <alignment horizontal="center"/>
    </xf>
    <xf numFmtId="38" fontId="4" fillId="0" borderId="16" xfId="0" applyNumberFormat="1" applyFont="1" applyBorder="1"/>
    <xf numFmtId="38" fontId="4" fillId="38" borderId="16" xfId="0" applyNumberFormat="1" applyFont="1" applyFill="1" applyBorder="1" applyAlignment="1">
      <alignment horizontal="center" vertical="center"/>
    </xf>
    <xf numFmtId="165" fontId="4" fillId="0" borderId="16" xfId="0" applyNumberFormat="1" applyFont="1" applyBorder="1"/>
    <xf numFmtId="165" fontId="4" fillId="3" borderId="16" xfId="0" applyNumberFormat="1" applyFont="1" applyFill="1" applyBorder="1"/>
    <xf numFmtId="165" fontId="4" fillId="3" borderId="16" xfId="0" applyNumberFormat="1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9" fontId="7" fillId="4" borderId="17" xfId="1" applyFont="1" applyFill="1" applyBorder="1"/>
    <xf numFmtId="9" fontId="49" fillId="4" borderId="17" xfId="1" applyFont="1" applyFill="1" applyBorder="1"/>
    <xf numFmtId="9" fontId="8" fillId="4" borderId="17" xfId="1" applyFont="1" applyFill="1" applyBorder="1"/>
    <xf numFmtId="9" fontId="50" fillId="4" borderId="17" xfId="1" applyFont="1" applyFill="1" applyBorder="1"/>
    <xf numFmtId="40" fontId="3" fillId="0" borderId="18" xfId="0" applyNumberFormat="1" applyFont="1" applyBorder="1" applyAlignment="1">
      <alignment horizontal="center" vertical="center"/>
    </xf>
    <xf numFmtId="38" fontId="3" fillId="0" borderId="18" xfId="0" applyNumberFormat="1" applyFont="1" applyBorder="1" applyAlignment="1">
      <alignment horizontal="center" vertical="center"/>
    </xf>
    <xf numFmtId="38" fontId="4" fillId="38" borderId="18" xfId="0" applyNumberFormat="1" applyFont="1" applyFill="1" applyBorder="1" applyAlignment="1">
      <alignment horizontal="center" vertical="center"/>
    </xf>
    <xf numFmtId="40" fontId="3" fillId="35" borderId="18" xfId="0" applyNumberFormat="1" applyFont="1" applyFill="1" applyBorder="1" applyAlignment="1">
      <alignment horizontal="center" vertical="center"/>
    </xf>
    <xf numFmtId="38" fontId="3" fillId="35" borderId="18" xfId="0" applyNumberFormat="1" applyFont="1" applyFill="1" applyBorder="1" applyAlignment="1">
      <alignment horizontal="center" vertical="center"/>
    </xf>
    <xf numFmtId="40" fontId="4" fillId="38" borderId="18" xfId="0" applyNumberFormat="1" applyFont="1" applyFill="1" applyBorder="1" applyAlignment="1">
      <alignment horizontal="center" vertical="center"/>
    </xf>
    <xf numFmtId="0" fontId="4" fillId="0" borderId="18" xfId="0" applyFont="1" applyBorder="1"/>
    <xf numFmtId="0" fontId="53" fillId="0" borderId="18" xfId="0" applyFont="1" applyBorder="1"/>
    <xf numFmtId="0" fontId="3" fillId="0" borderId="18" xfId="0" applyFont="1" applyBorder="1"/>
    <xf numFmtId="0" fontId="48" fillId="0" borderId="18" xfId="0" applyFont="1" applyBorder="1"/>
    <xf numFmtId="0" fontId="7" fillId="0" borderId="18" xfId="0" applyFont="1" applyBorder="1"/>
    <xf numFmtId="165" fontId="48" fillId="3" borderId="16" xfId="0" applyNumberFormat="1" applyFont="1" applyFill="1" applyBorder="1" applyAlignment="1">
      <alignment horizontal="center"/>
    </xf>
    <xf numFmtId="49" fontId="51" fillId="5" borderId="18" xfId="0" applyNumberFormat="1" applyFont="1" applyFill="1" applyBorder="1" applyAlignment="1">
      <alignment horizontal="center"/>
    </xf>
    <xf numFmtId="38" fontId="7" fillId="0" borderId="18" xfId="0" applyNumberFormat="1" applyFont="1" applyBorder="1" applyAlignment="1">
      <alignment horizontal="center" vertical="center"/>
    </xf>
    <xf numFmtId="38" fontId="53" fillId="0" borderId="18" xfId="0" applyNumberFormat="1" applyFont="1" applyBorder="1" applyAlignment="1">
      <alignment horizontal="center" vertical="center"/>
    </xf>
    <xf numFmtId="38" fontId="53" fillId="38" borderId="18" xfId="0" applyNumberFormat="1" applyFont="1" applyFill="1" applyBorder="1" applyAlignment="1">
      <alignment horizontal="center" vertical="center"/>
    </xf>
    <xf numFmtId="38" fontId="7" fillId="32" borderId="18" xfId="0" applyNumberFormat="1" applyFont="1" applyFill="1" applyBorder="1" applyAlignment="1">
      <alignment horizontal="center" vertical="center"/>
    </xf>
    <xf numFmtId="38" fontId="7" fillId="33" borderId="18" xfId="0" applyNumberFormat="1" applyFont="1" applyFill="1" applyBorder="1" applyAlignment="1">
      <alignment horizontal="center" vertical="center"/>
    </xf>
    <xf numFmtId="38" fontId="7" fillId="34" borderId="18" xfId="0" applyNumberFormat="1" applyFont="1" applyFill="1" applyBorder="1" applyAlignment="1">
      <alignment horizontal="center" vertical="center"/>
    </xf>
    <xf numFmtId="165" fontId="4" fillId="4" borderId="18" xfId="0" applyNumberFormat="1" applyFont="1" applyFill="1" applyBorder="1"/>
    <xf numFmtId="165" fontId="7" fillId="4" borderId="18" xfId="0" applyNumberFormat="1" applyFont="1" applyFill="1" applyBorder="1"/>
    <xf numFmtId="38" fontId="51" fillId="0" borderId="18" xfId="0" applyNumberFormat="1" applyFont="1" applyBorder="1"/>
    <xf numFmtId="164" fontId="7" fillId="0" borderId="20" xfId="0" applyNumberFormat="1" applyFont="1" applyBorder="1"/>
    <xf numFmtId="0" fontId="52" fillId="0" borderId="20" xfId="0" applyFont="1" applyBorder="1"/>
    <xf numFmtId="0" fontId="48" fillId="0" borderId="20" xfId="0" applyFont="1" applyBorder="1"/>
    <xf numFmtId="0" fontId="53" fillId="36" borderId="20" xfId="0" applyFont="1" applyFill="1" applyBorder="1"/>
    <xf numFmtId="38" fontId="4" fillId="0" borderId="20" xfId="0" applyNumberFormat="1" applyFont="1" applyBorder="1"/>
    <xf numFmtId="38" fontId="53" fillId="0" borderId="20" xfId="0" applyNumberFormat="1" applyFont="1" applyBorder="1"/>
    <xf numFmtId="0" fontId="4" fillId="36" borderId="20" xfId="0" applyFont="1" applyFill="1" applyBorder="1"/>
    <xf numFmtId="0" fontId="3" fillId="36" borderId="20" xfId="0" applyFont="1" applyFill="1" applyBorder="1"/>
    <xf numFmtId="38" fontId="7" fillId="33" borderId="20" xfId="0" applyNumberFormat="1" applyFont="1" applyFill="1" applyBorder="1" applyAlignment="1">
      <alignment horizontal="center" vertical="center"/>
    </xf>
    <xf numFmtId="0" fontId="53" fillId="0" borderId="20" xfId="0" applyFont="1" applyBorder="1"/>
    <xf numFmtId="0" fontId="4" fillId="0" borderId="20" xfId="0" applyFont="1" applyBorder="1"/>
    <xf numFmtId="38" fontId="53" fillId="38" borderId="20" xfId="0" applyNumberFormat="1" applyFont="1" applyFill="1" applyBorder="1" applyAlignment="1">
      <alignment horizontal="center" vertical="center"/>
    </xf>
    <xf numFmtId="38" fontId="53" fillId="0" borderId="20" xfId="0" applyNumberFormat="1" applyFont="1" applyBorder="1" applyAlignment="1">
      <alignment horizontal="center" vertical="center"/>
    </xf>
    <xf numFmtId="38" fontId="4" fillId="38" borderId="20" xfId="0" applyNumberFormat="1" applyFont="1" applyFill="1" applyBorder="1" applyAlignment="1">
      <alignment horizontal="center" vertical="center"/>
    </xf>
    <xf numFmtId="38" fontId="7" fillId="0" borderId="20" xfId="0" applyNumberFormat="1" applyFont="1" applyBorder="1" applyAlignment="1">
      <alignment horizontal="center" vertical="center"/>
    </xf>
    <xf numFmtId="0" fontId="3" fillId="0" borderId="20" xfId="0" applyFont="1" applyBorder="1"/>
    <xf numFmtId="166" fontId="7" fillId="4" borderId="19" xfId="1" applyNumberFormat="1" applyFont="1" applyFill="1" applyBorder="1" applyAlignment="1">
      <alignment horizontal="center" vertical="center"/>
    </xf>
    <xf numFmtId="166" fontId="7" fillId="4" borderId="19" xfId="1" applyNumberFormat="1" applyFont="1" applyFill="1" applyBorder="1" applyAlignment="1">
      <alignment horizontal="center"/>
    </xf>
    <xf numFmtId="167" fontId="48" fillId="0" borderId="20" xfId="0" applyNumberFormat="1" applyFont="1" applyBorder="1" applyAlignment="1">
      <alignment horizontal="right"/>
    </xf>
    <xf numFmtId="38" fontId="48" fillId="0" borderId="20" xfId="0" applyNumberFormat="1" applyFont="1" applyBorder="1"/>
    <xf numFmtId="167" fontId="7" fillId="0" borderId="20" xfId="0" applyNumberFormat="1" applyFont="1" applyBorder="1" applyAlignment="1">
      <alignment horizontal="right"/>
    </xf>
    <xf numFmtId="38" fontId="7" fillId="0" borderId="20" xfId="0" applyNumberFormat="1" applyFont="1" applyBorder="1"/>
    <xf numFmtId="164" fontId="7" fillId="37" borderId="20" xfId="0" applyNumberFormat="1" applyFont="1" applyFill="1" applyBorder="1"/>
    <xf numFmtId="38" fontId="7" fillId="4" borderId="20" xfId="0" applyNumberFormat="1" applyFont="1" applyFill="1" applyBorder="1" applyAlignment="1">
      <alignment horizontal="center" vertical="center"/>
    </xf>
    <xf numFmtId="167" fontId="4" fillId="0" borderId="20" xfId="0" applyNumberFormat="1" applyFont="1" applyBorder="1" applyAlignment="1">
      <alignment horizontal="right"/>
    </xf>
    <xf numFmtId="167" fontId="3" fillId="0" borderId="20" xfId="0" applyNumberFormat="1" applyFont="1" applyBorder="1" applyAlignment="1">
      <alignment horizontal="right"/>
    </xf>
    <xf numFmtId="38" fontId="3" fillId="0" borderId="20" xfId="0" applyNumberFormat="1" applyFont="1" applyBorder="1"/>
    <xf numFmtId="38" fontId="52" fillId="0" borderId="20" xfId="0" applyNumberFormat="1" applyFont="1" applyBorder="1"/>
    <xf numFmtId="1" fontId="4" fillId="0" borderId="21" xfId="0" applyNumberFormat="1" applyFont="1" applyBorder="1"/>
    <xf numFmtId="9" fontId="8" fillId="4" borderId="21" xfId="1" applyFont="1" applyFill="1" applyBorder="1"/>
    <xf numFmtId="165" fontId="4" fillId="3" borderId="21" xfId="0" applyNumberFormat="1" applyFont="1" applyFill="1" applyBorder="1"/>
    <xf numFmtId="165" fontId="48" fillId="3" borderId="21" xfId="0" applyNumberFormat="1" applyFont="1" applyFill="1" applyBorder="1"/>
    <xf numFmtId="9" fontId="50" fillId="4" borderId="21" xfId="1" applyFont="1" applyFill="1" applyBorder="1"/>
    <xf numFmtId="3" fontId="7" fillId="6" borderId="21" xfId="0" applyNumberFormat="1" applyFont="1" applyFill="1" applyBorder="1"/>
    <xf numFmtId="9" fontId="7" fillId="4" borderId="21" xfId="1" applyFont="1" applyFill="1" applyBorder="1"/>
    <xf numFmtId="38" fontId="4" fillId="0" borderId="21" xfId="0" applyNumberFormat="1" applyFont="1" applyBorder="1"/>
    <xf numFmtId="165" fontId="4" fillId="4" borderId="21" xfId="0" applyNumberFormat="1" applyFont="1" applyFill="1" applyBorder="1"/>
    <xf numFmtId="38" fontId="7" fillId="0" borderId="21" xfId="0" applyNumberFormat="1" applyFont="1" applyBorder="1"/>
    <xf numFmtId="0" fontId="7" fillId="0" borderId="21" xfId="0" applyFont="1" applyBorder="1"/>
    <xf numFmtId="38" fontId="50" fillId="0" borderId="21" xfId="0" applyNumberFormat="1" applyFont="1" applyBorder="1"/>
    <xf numFmtId="165" fontId="7" fillId="4" borderId="21" xfId="0" applyNumberFormat="1" applyFont="1" applyFill="1" applyBorder="1"/>
    <xf numFmtId="164" fontId="7" fillId="37" borderId="21" xfId="0" applyNumberFormat="1" applyFont="1" applyFill="1" applyBorder="1"/>
    <xf numFmtId="164" fontId="7" fillId="0" borderId="21" xfId="0" applyNumberFormat="1" applyFont="1" applyBorder="1"/>
    <xf numFmtId="38" fontId="48" fillId="0" borderId="21" xfId="0" applyNumberFormat="1" applyFont="1" applyBorder="1"/>
    <xf numFmtId="40" fontId="3" fillId="0" borderId="22" xfId="0" applyNumberFormat="1" applyFont="1" applyBorder="1" applyAlignment="1">
      <alignment horizontal="center" vertical="center"/>
    </xf>
    <xf numFmtId="38" fontId="3" fillId="0" borderId="22" xfId="0" applyNumberFormat="1" applyFont="1" applyBorder="1" applyAlignment="1">
      <alignment horizontal="center" vertical="center"/>
    </xf>
    <xf numFmtId="38" fontId="50" fillId="0" borderId="22" xfId="0" applyNumberFormat="1" applyFont="1" applyBorder="1"/>
    <xf numFmtId="167" fontId="7" fillId="0" borderId="22" xfId="0" applyNumberFormat="1" applyFont="1" applyBorder="1" applyAlignment="1">
      <alignment horizontal="right"/>
    </xf>
    <xf numFmtId="167" fontId="7" fillId="0" borderId="22" xfId="0" applyNumberFormat="1" applyFont="1" applyBorder="1"/>
    <xf numFmtId="167" fontId="48" fillId="0" borderId="22" xfId="0" applyNumberFormat="1" applyFont="1" applyBorder="1" applyAlignment="1">
      <alignment horizontal="right"/>
    </xf>
    <xf numFmtId="38" fontId="7" fillId="6" borderId="24" xfId="0" applyNumberFormat="1" applyFont="1" applyFill="1" applyBorder="1" applyAlignment="1">
      <alignment horizontal="center" vertical="center"/>
    </xf>
    <xf numFmtId="167" fontId="7" fillId="0" borderId="24" xfId="0" applyNumberFormat="1" applyFont="1" applyBorder="1" applyAlignment="1">
      <alignment horizontal="right"/>
    </xf>
    <xf numFmtId="0" fontId="7" fillId="3" borderId="24" xfId="0" applyFont="1" applyFill="1" applyBorder="1"/>
    <xf numFmtId="165" fontId="7" fillId="4" borderId="24" xfId="0" applyNumberFormat="1" applyFont="1" applyFill="1" applyBorder="1"/>
    <xf numFmtId="165" fontId="48" fillId="3" borderId="23" xfId="0" applyNumberFormat="1" applyFont="1" applyFill="1" applyBorder="1"/>
    <xf numFmtId="165" fontId="7" fillId="3" borderId="23" xfId="0" applyNumberFormat="1" applyFont="1" applyFill="1" applyBorder="1"/>
    <xf numFmtId="165" fontId="4" fillId="3" borderId="23" xfId="0" applyNumberFormat="1" applyFont="1" applyFill="1" applyBorder="1"/>
    <xf numFmtId="38" fontId="7" fillId="0" borderId="24" xfId="0" applyNumberFormat="1" applyFont="1" applyBorder="1"/>
    <xf numFmtId="38" fontId="54" fillId="0" borderId="24" xfId="0" applyNumberFormat="1" applyFont="1" applyBorder="1" applyAlignment="1">
      <alignment horizontal="center" vertical="center"/>
    </xf>
    <xf numFmtId="38" fontId="57" fillId="0" borderId="24" xfId="0" applyNumberFormat="1" applyFont="1" applyBorder="1"/>
    <xf numFmtId="164" fontId="54" fillId="0" borderId="24" xfId="0" applyNumberFormat="1" applyFont="1" applyBorder="1"/>
    <xf numFmtId="9" fontId="54" fillId="4" borderId="24" xfId="1" applyFont="1" applyFill="1" applyBorder="1"/>
    <xf numFmtId="9" fontId="55" fillId="4" borderId="24" xfId="1" applyFont="1" applyFill="1" applyBorder="1"/>
    <xf numFmtId="3" fontId="54" fillId="6" borderId="24" xfId="0" applyNumberFormat="1" applyFont="1" applyFill="1" applyBorder="1"/>
    <xf numFmtId="1" fontId="55" fillId="0" borderId="24" xfId="0" applyNumberFormat="1" applyFont="1" applyBorder="1"/>
    <xf numFmtId="38" fontId="55" fillId="0" borderId="24" xfId="0" applyNumberFormat="1" applyFont="1" applyBorder="1"/>
    <xf numFmtId="165" fontId="54" fillId="3" borderId="24" xfId="0" applyNumberFormat="1" applyFont="1" applyFill="1" applyBorder="1"/>
    <xf numFmtId="38" fontId="54" fillId="6" borderId="24" xfId="0" applyNumberFormat="1" applyFont="1" applyFill="1" applyBorder="1" applyAlignment="1">
      <alignment horizontal="center" vertical="center"/>
    </xf>
    <xf numFmtId="38" fontId="56" fillId="0" borderId="24" xfId="0" applyNumberFormat="1" applyFont="1" applyBorder="1" applyAlignment="1">
      <alignment horizontal="center"/>
    </xf>
    <xf numFmtId="0" fontId="7" fillId="0" borderId="24" xfId="0" applyFont="1" applyBorder="1"/>
    <xf numFmtId="0" fontId="54" fillId="36" borderId="24" xfId="0" applyFont="1" applyFill="1" applyBorder="1"/>
    <xf numFmtId="38" fontId="54" fillId="4" borderId="24" xfId="0" applyNumberFormat="1" applyFont="1" applyFill="1" applyBorder="1" applyAlignment="1">
      <alignment horizontal="center" vertical="center"/>
    </xf>
    <xf numFmtId="165" fontId="54" fillId="4" borderId="24" xfId="0" applyNumberFormat="1" applyFont="1" applyFill="1" applyBorder="1"/>
    <xf numFmtId="40" fontId="58" fillId="0" borderId="24" xfId="0" applyNumberFormat="1" applyFont="1" applyBorder="1" applyAlignment="1">
      <alignment horizontal="center" vertical="center"/>
    </xf>
    <xf numFmtId="38" fontId="58" fillId="0" borderId="24" xfId="0" applyNumberFormat="1" applyFont="1" applyBorder="1" applyAlignment="1">
      <alignment horizontal="center" vertical="center"/>
    </xf>
    <xf numFmtId="166" fontId="7" fillId="4" borderId="25" xfId="1" applyNumberFormat="1" applyFont="1" applyFill="1" applyBorder="1" applyAlignment="1">
      <alignment horizontal="center" vertical="center"/>
    </xf>
    <xf numFmtId="166" fontId="54" fillId="6" borderId="25" xfId="1" applyNumberFormat="1" applyFont="1" applyFill="1" applyBorder="1" applyAlignment="1">
      <alignment horizontal="center" vertical="center"/>
    </xf>
    <xf numFmtId="2" fontId="54" fillId="4" borderId="25" xfId="1" applyNumberFormat="1" applyFont="1" applyFill="1" applyBorder="1" applyAlignment="1">
      <alignment horizontal="center" vertical="center"/>
    </xf>
    <xf numFmtId="166" fontId="54" fillId="6" borderId="25" xfId="0" applyNumberFormat="1" applyFont="1" applyFill="1" applyBorder="1"/>
    <xf numFmtId="166" fontId="54" fillId="6" borderId="24" xfId="1" applyNumberFormat="1" applyFont="1" applyFill="1" applyBorder="1" applyAlignment="1">
      <alignment horizontal="center" vertical="center"/>
    </xf>
    <xf numFmtId="38" fontId="50" fillId="0" borderId="24" xfId="0" applyNumberFormat="1" applyFont="1" applyBorder="1"/>
    <xf numFmtId="164" fontId="7" fillId="37" borderId="24" xfId="0" applyNumberFormat="1" applyFont="1" applyFill="1" applyBorder="1"/>
    <xf numFmtId="38" fontId="54" fillId="0" borderId="24" xfId="0" applyNumberFormat="1" applyFont="1" applyBorder="1"/>
    <xf numFmtId="0" fontId="54" fillId="0" borderId="24" xfId="0" applyFont="1" applyBorder="1"/>
    <xf numFmtId="0" fontId="54" fillId="3" borderId="24" xfId="0" applyFont="1" applyFill="1" applyBorder="1"/>
    <xf numFmtId="40" fontId="58" fillId="35" borderId="24" xfId="0" applyNumberFormat="1" applyFont="1" applyFill="1" applyBorder="1" applyAlignment="1">
      <alignment horizontal="center" vertical="center"/>
    </xf>
    <xf numFmtId="38" fontId="58" fillId="35" borderId="24" xfId="0" applyNumberFormat="1" applyFont="1" applyFill="1" applyBorder="1" applyAlignment="1">
      <alignment horizontal="center" vertical="center"/>
    </xf>
    <xf numFmtId="166" fontId="54" fillId="6" borderId="27" xfId="1" applyNumberFormat="1" applyFont="1" applyFill="1" applyBorder="1" applyAlignment="1">
      <alignment horizontal="center"/>
    </xf>
    <xf numFmtId="166" fontId="54" fillId="6" borderId="27" xfId="1" applyNumberFormat="1" applyFont="1" applyFill="1" applyBorder="1" applyAlignment="1">
      <alignment horizontal="center" vertical="center"/>
    </xf>
    <xf numFmtId="2" fontId="54" fillId="4" borderId="27" xfId="1" applyNumberFormat="1" applyFont="1" applyFill="1" applyBorder="1" applyAlignment="1">
      <alignment horizontal="center" vertical="center"/>
    </xf>
    <xf numFmtId="166" fontId="54" fillId="6" borderId="27" xfId="0" applyNumberFormat="1" applyFont="1" applyFill="1" applyBorder="1"/>
    <xf numFmtId="166" fontId="54" fillId="6" borderId="24" xfId="0" applyNumberFormat="1" applyFont="1" applyFill="1" applyBorder="1"/>
    <xf numFmtId="166" fontId="7" fillId="4" borderId="27" xfId="1" applyNumberFormat="1" applyFont="1" applyFill="1" applyBorder="1" applyAlignment="1">
      <alignment horizontal="center" vertical="center"/>
    </xf>
    <xf numFmtId="0" fontId="54" fillId="5" borderId="24" xfId="0" applyFont="1" applyFill="1" applyBorder="1"/>
    <xf numFmtId="38" fontId="48" fillId="0" borderId="24" xfId="0" applyNumberFormat="1" applyFont="1" applyBorder="1"/>
    <xf numFmtId="167" fontId="48" fillId="0" borderId="24" xfId="0" applyNumberFormat="1" applyFont="1" applyBorder="1" applyAlignment="1">
      <alignment horizontal="right"/>
    </xf>
    <xf numFmtId="0" fontId="48" fillId="0" borderId="24" xfId="0" applyFont="1" applyBorder="1"/>
    <xf numFmtId="0" fontId="48" fillId="36" borderId="24" xfId="0" applyFont="1" applyFill="1" applyBorder="1"/>
    <xf numFmtId="166" fontId="7" fillId="4" borderId="28" xfId="1" applyNumberFormat="1" applyFont="1" applyFill="1" applyBorder="1" applyAlignment="1">
      <alignment horizontal="center" vertical="center"/>
    </xf>
    <xf numFmtId="1" fontId="60" fillId="0" borderId="24" xfId="0" applyNumberFormat="1" applyFont="1" applyBorder="1"/>
    <xf numFmtId="38" fontId="60" fillId="0" borderId="24" xfId="0" applyNumberFormat="1" applyFont="1" applyBorder="1"/>
    <xf numFmtId="0" fontId="59" fillId="0" borderId="24" xfId="0" applyFont="1" applyBorder="1"/>
    <xf numFmtId="0" fontId="59" fillId="5" borderId="24" xfId="0" applyFont="1" applyFill="1" applyBorder="1"/>
    <xf numFmtId="165" fontId="59" fillId="3" borderId="24" xfId="0" applyNumberFormat="1" applyFont="1" applyFill="1" applyBorder="1"/>
    <xf numFmtId="38" fontId="59" fillId="6" borderId="24" xfId="0" applyNumberFormat="1" applyFont="1" applyFill="1" applyBorder="1" applyAlignment="1">
      <alignment horizontal="center" vertical="center"/>
    </xf>
    <xf numFmtId="38" fontId="61" fillId="0" borderId="24" xfId="0" applyNumberFormat="1" applyFont="1" applyBorder="1" applyAlignment="1">
      <alignment horizontal="center"/>
    </xf>
    <xf numFmtId="38" fontId="59" fillId="0" borderId="24" xfId="0" applyNumberFormat="1" applyFont="1" applyBorder="1" applyAlignment="1">
      <alignment horizontal="center" vertical="center"/>
    </xf>
    <xf numFmtId="38" fontId="62" fillId="0" borderId="24" xfId="0" applyNumberFormat="1" applyFont="1" applyBorder="1"/>
    <xf numFmtId="9" fontId="59" fillId="4" borderId="24" xfId="1" applyFont="1" applyFill="1" applyBorder="1"/>
    <xf numFmtId="165" fontId="59" fillId="4" borderId="24" xfId="0" applyNumberFormat="1" applyFont="1" applyFill="1" applyBorder="1"/>
    <xf numFmtId="9" fontId="60" fillId="4" borderId="24" xfId="1" applyFont="1" applyFill="1" applyBorder="1"/>
    <xf numFmtId="40" fontId="63" fillId="35" borderId="24" xfId="0" applyNumberFormat="1" applyFont="1" applyFill="1" applyBorder="1" applyAlignment="1">
      <alignment horizontal="center" vertical="center"/>
    </xf>
    <xf numFmtId="38" fontId="63" fillId="35" borderId="24" xfId="0" applyNumberFormat="1" applyFont="1" applyFill="1" applyBorder="1" applyAlignment="1">
      <alignment horizontal="center" vertical="center"/>
    </xf>
    <xf numFmtId="166" fontId="59" fillId="6" borderId="28" xfId="1" applyNumberFormat="1" applyFont="1" applyFill="1" applyBorder="1" applyAlignment="1">
      <alignment horizontal="center"/>
    </xf>
    <xf numFmtId="2" fontId="59" fillId="4" borderId="28" xfId="1" applyNumberFormat="1" applyFont="1" applyFill="1" applyBorder="1" applyAlignment="1">
      <alignment horizontal="center" vertical="center"/>
    </xf>
    <xf numFmtId="166" fontId="59" fillId="6" borderId="28" xfId="0" applyNumberFormat="1" applyFont="1" applyFill="1" applyBorder="1"/>
    <xf numFmtId="166" fontId="59" fillId="6" borderId="24" xfId="1" applyNumberFormat="1" applyFont="1" applyFill="1" applyBorder="1" applyAlignment="1">
      <alignment horizontal="center" vertical="center"/>
    </xf>
    <xf numFmtId="3" fontId="59" fillId="6" borderId="24" xfId="0" applyNumberFormat="1" applyFont="1" applyFill="1" applyBorder="1"/>
    <xf numFmtId="1" fontId="59" fillId="0" borderId="24" xfId="0" applyNumberFormat="1" applyFont="1" applyBorder="1"/>
    <xf numFmtId="165" fontId="64" fillId="3" borderId="24" xfId="0" applyNumberFormat="1" applyFont="1" applyFill="1" applyBorder="1"/>
    <xf numFmtId="49" fontId="60" fillId="5" borderId="24" xfId="0" applyNumberFormat="1" applyFont="1" applyFill="1" applyBorder="1" applyAlignment="1">
      <alignment horizontal="center"/>
    </xf>
    <xf numFmtId="38" fontId="59" fillId="38" borderId="24" xfId="0" applyNumberFormat="1" applyFont="1" applyFill="1" applyBorder="1" applyAlignment="1">
      <alignment horizontal="center" vertical="center"/>
    </xf>
    <xf numFmtId="38" fontId="59" fillId="34" borderId="24" xfId="0" applyNumberFormat="1" applyFont="1" applyFill="1" applyBorder="1" applyAlignment="1">
      <alignment horizontal="center" vertical="center"/>
    </xf>
    <xf numFmtId="164" fontId="59" fillId="0" borderId="24" xfId="0" applyNumberFormat="1" applyFont="1" applyBorder="1"/>
    <xf numFmtId="166" fontId="59" fillId="6" borderId="28" xfId="1" applyNumberFormat="1" applyFont="1" applyFill="1" applyBorder="1" applyAlignment="1">
      <alignment horizontal="center" vertical="center"/>
    </xf>
    <xf numFmtId="166" fontId="59" fillId="6" borderId="24" xfId="0" applyNumberFormat="1" applyFont="1" applyFill="1" applyBorder="1"/>
    <xf numFmtId="38" fontId="59" fillId="0" borderId="24" xfId="0" applyNumberFormat="1" applyFont="1" applyBorder="1"/>
    <xf numFmtId="0" fontId="59" fillId="3" borderId="24" xfId="0" applyFont="1" applyFill="1" applyBorder="1"/>
    <xf numFmtId="0" fontId="59" fillId="36" borderId="24" xfId="0" applyFont="1" applyFill="1" applyBorder="1"/>
    <xf numFmtId="38" fontId="59" fillId="4" borderId="24" xfId="0" applyNumberFormat="1" applyFont="1" applyFill="1" applyBorder="1" applyAlignment="1">
      <alignment horizontal="center" vertical="center"/>
    </xf>
    <xf numFmtId="40" fontId="63" fillId="0" borderId="24" xfId="0" applyNumberFormat="1" applyFont="1" applyBorder="1" applyAlignment="1">
      <alignment horizontal="center" vertical="center"/>
    </xf>
    <xf numFmtId="38" fontId="63" fillId="0" borderId="24" xfId="0" applyNumberFormat="1" applyFont="1" applyBorder="1" applyAlignment="1">
      <alignment horizontal="center" vertical="center"/>
    </xf>
    <xf numFmtId="166" fontId="7" fillId="4" borderId="28" xfId="0" applyNumberFormat="1" applyFont="1" applyFill="1" applyBorder="1"/>
    <xf numFmtId="166" fontId="7" fillId="4" borderId="28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38" fontId="4" fillId="0" borderId="21" xfId="0" applyNumberFormat="1" applyFont="1" applyBorder="1" applyAlignment="1">
      <alignment horizontal="right"/>
    </xf>
    <xf numFmtId="38" fontId="48" fillId="0" borderId="21" xfId="0" applyNumberFormat="1" applyFont="1" applyBorder="1" applyAlignment="1">
      <alignment horizontal="right"/>
    </xf>
    <xf numFmtId="38" fontId="7" fillId="0" borderId="2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38" fontId="7" fillId="0" borderId="22" xfId="0" applyNumberFormat="1" applyFont="1" applyBorder="1" applyAlignment="1">
      <alignment horizontal="right"/>
    </xf>
    <xf numFmtId="167" fontId="64" fillId="0" borderId="24" xfId="0" applyNumberFormat="1" applyFont="1" applyBorder="1" applyAlignment="1">
      <alignment horizontal="right"/>
    </xf>
    <xf numFmtId="38" fontId="64" fillId="0" borderId="24" xfId="0" applyNumberFormat="1" applyFont="1" applyBorder="1"/>
    <xf numFmtId="166" fontId="59" fillId="4" borderId="28" xfId="1" applyNumberFormat="1" applyFont="1" applyFill="1" applyBorder="1" applyAlignment="1">
      <alignment horizontal="center" vertical="center"/>
    </xf>
    <xf numFmtId="167" fontId="59" fillId="0" borderId="24" xfId="0" applyNumberFormat="1" applyFont="1" applyBorder="1" applyAlignment="1">
      <alignment horizontal="right"/>
    </xf>
    <xf numFmtId="164" fontId="59" fillId="37" borderId="24" xfId="0" applyNumberFormat="1" applyFont="1" applyFill="1" applyBorder="1"/>
    <xf numFmtId="38" fontId="59" fillId="0" borderId="24" xfId="0" applyNumberFormat="1" applyFont="1" applyBorder="1" applyAlignment="1">
      <alignment horizontal="right"/>
    </xf>
    <xf numFmtId="0" fontId="5" fillId="2" borderId="0" xfId="0" applyFont="1" applyFill="1" applyAlignment="1">
      <alignment horizontal="left"/>
    </xf>
    <xf numFmtId="38" fontId="7" fillId="0" borderId="22" xfId="0" applyNumberFormat="1" applyFont="1" applyBorder="1" applyAlignment="1">
      <alignment horizontal="left"/>
    </xf>
    <xf numFmtId="38" fontId="7" fillId="0" borderId="24" xfId="0" applyNumberFormat="1" applyFont="1" applyBorder="1" applyAlignment="1">
      <alignment horizontal="left" vertical="center"/>
    </xf>
    <xf numFmtId="38" fontId="59" fillId="0" borderId="2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64" fillId="0" borderId="24" xfId="0" applyFont="1" applyBorder="1"/>
    <xf numFmtId="0" fontId="64" fillId="36" borderId="24" xfId="0" applyFont="1" applyFill="1" applyBorder="1"/>
    <xf numFmtId="166" fontId="59" fillId="4" borderId="28" xfId="0" applyNumberFormat="1" applyFont="1" applyFill="1" applyBorder="1"/>
    <xf numFmtId="38" fontId="64" fillId="0" borderId="24" xfId="0" applyNumberFormat="1" applyFont="1" applyBorder="1" applyAlignment="1">
      <alignment horizontal="right"/>
    </xf>
    <xf numFmtId="14" fontId="7" fillId="0" borderId="24" xfId="0" applyNumberFormat="1" applyFont="1" applyBorder="1" applyAlignment="1">
      <alignment horizontal="right"/>
    </xf>
    <xf numFmtId="14" fontId="4" fillId="5" borderId="16" xfId="0" applyNumberFormat="1" applyFont="1" applyFill="1" applyBorder="1" applyAlignment="1">
      <alignment horizontal="center"/>
    </xf>
    <xf numFmtId="14" fontId="59" fillId="5" borderId="24" xfId="0" applyNumberFormat="1" applyFont="1" applyFill="1" applyBorder="1" applyAlignment="1">
      <alignment horizontal="center"/>
    </xf>
    <xf numFmtId="14" fontId="60" fillId="5" borderId="24" xfId="0" applyNumberFormat="1" applyFont="1" applyFill="1" applyBorder="1" applyAlignment="1">
      <alignment horizontal="center"/>
    </xf>
    <xf numFmtId="38" fontId="66" fillId="6" borderId="34" xfId="0" applyNumberFormat="1" applyFont="1" applyFill="1" applyBorder="1" applyAlignment="1">
      <alignment horizontal="center" vertical="center"/>
    </xf>
    <xf numFmtId="3" fontId="66" fillId="6" borderId="36" xfId="0" applyNumberFormat="1" applyFont="1" applyFill="1" applyBorder="1"/>
    <xf numFmtId="166" fontId="66" fillId="6" borderId="36" xfId="1" applyNumberFormat="1" applyFont="1" applyFill="1" applyBorder="1" applyAlignment="1">
      <alignment horizontal="center" vertical="center"/>
    </xf>
    <xf numFmtId="166" fontId="66" fillId="6" borderId="35" xfId="0" applyNumberFormat="1" applyFont="1" applyFill="1" applyBorder="1"/>
    <xf numFmtId="166" fontId="66" fillId="6" borderId="35" xfId="1" applyNumberFormat="1" applyFont="1" applyFill="1" applyBorder="1" applyAlignment="1">
      <alignment horizontal="center"/>
    </xf>
    <xf numFmtId="166" fontId="7" fillId="4" borderId="35" xfId="1" applyNumberFormat="1" applyFont="1" applyFill="1" applyBorder="1" applyAlignment="1">
      <alignment horizontal="center" vertical="center"/>
    </xf>
    <xf numFmtId="38" fontId="66" fillId="0" borderId="34" xfId="0" applyNumberFormat="1" applyFont="1" applyBorder="1" applyAlignment="1">
      <alignment horizontal="center" vertical="center"/>
    </xf>
    <xf numFmtId="38" fontId="67" fillId="0" borderId="0" xfId="0" applyNumberFormat="1" applyFont="1" applyAlignment="1">
      <alignment horizontal="center"/>
    </xf>
    <xf numFmtId="2" fontId="66" fillId="4" borderId="35" xfId="1" applyNumberFormat="1" applyFont="1" applyFill="1" applyBorder="1" applyAlignment="1">
      <alignment horizontal="center" vertical="center"/>
    </xf>
    <xf numFmtId="38" fontId="7" fillId="0" borderId="33" xfId="0" applyNumberFormat="1" applyFont="1" applyBorder="1"/>
    <xf numFmtId="38" fontId="50" fillId="0" borderId="33" xfId="0" applyNumberFormat="1" applyFont="1" applyBorder="1"/>
    <xf numFmtId="167" fontId="7" fillId="0" borderId="36" xfId="0" applyNumberFormat="1" applyFont="1" applyBorder="1" applyAlignment="1">
      <alignment horizontal="right"/>
    </xf>
    <xf numFmtId="167" fontId="50" fillId="0" borderId="36" xfId="0" applyNumberFormat="1" applyFont="1" applyBorder="1" applyAlignment="1">
      <alignment horizontal="right"/>
    </xf>
    <xf numFmtId="1" fontId="65" fillId="0" borderId="37" xfId="0" applyNumberFormat="1" applyFont="1" applyBorder="1"/>
    <xf numFmtId="165" fontId="7" fillId="4" borderId="38" xfId="0" applyNumberFormat="1" applyFont="1" applyFill="1" applyBorder="1"/>
    <xf numFmtId="9" fontId="4" fillId="4" borderId="38" xfId="1907" applyFont="1" applyFill="1" applyBorder="1"/>
    <xf numFmtId="168" fontId="66" fillId="0" borderId="34" xfId="0" applyNumberFormat="1" applyFont="1" applyBorder="1"/>
    <xf numFmtId="168" fontId="66" fillId="0" borderId="34" xfId="0" applyNumberFormat="1" applyFont="1" applyBorder="1" applyAlignment="1">
      <alignment horizontal="right"/>
    </xf>
    <xf numFmtId="38" fontId="7" fillId="0" borderId="39" xfId="0" applyNumberFormat="1" applyFont="1" applyBorder="1"/>
    <xf numFmtId="38" fontId="50" fillId="0" borderId="39" xfId="0" applyNumberFormat="1" applyFont="1" applyBorder="1"/>
    <xf numFmtId="0" fontId="7" fillId="0" borderId="39" xfId="0" applyFont="1" applyBorder="1"/>
    <xf numFmtId="0" fontId="50" fillId="0" borderId="39" xfId="0" applyFont="1" applyBorder="1"/>
    <xf numFmtId="0" fontId="7" fillId="0" borderId="40" xfId="0" applyFont="1" applyBorder="1"/>
    <xf numFmtId="0" fontId="50" fillId="0" borderId="40" xfId="0" applyFont="1" applyBorder="1"/>
    <xf numFmtId="165" fontId="7" fillId="3" borderId="41" xfId="0" applyNumberFormat="1" applyFont="1" applyFill="1" applyBorder="1"/>
    <xf numFmtId="165" fontId="50" fillId="3" borderId="41" xfId="0" applyNumberFormat="1" applyFont="1" applyFill="1" applyBorder="1"/>
    <xf numFmtId="38" fontId="50" fillId="0" borderId="41" xfId="0" applyNumberFormat="1" applyFont="1" applyBorder="1"/>
    <xf numFmtId="164" fontId="7" fillId="0" borderId="41" xfId="0" applyNumberFormat="1" applyFont="1" applyBorder="1"/>
    <xf numFmtId="164" fontId="7" fillId="37" borderId="41" xfId="0" applyNumberFormat="1" applyFont="1" applyFill="1" applyBorder="1"/>
    <xf numFmtId="9" fontId="8" fillId="4" borderId="42" xfId="2024" applyFont="1" applyFill="1" applyBorder="1"/>
    <xf numFmtId="9" fontId="7" fillId="4" borderId="42" xfId="2024" applyFont="1" applyFill="1" applyBorder="1"/>
    <xf numFmtId="9" fontId="50" fillId="4" borderId="42" xfId="2024" applyFont="1" applyFill="1" applyBorder="1"/>
    <xf numFmtId="40" fontId="4" fillId="0" borderId="43" xfId="0" applyNumberFormat="1" applyFont="1" applyBorder="1" applyAlignment="1">
      <alignment horizontal="center" vertical="center"/>
    </xf>
    <xf numFmtId="38" fontId="4" fillId="0" borderId="43" xfId="0" applyNumberFormat="1" applyFont="1" applyBorder="1" applyAlignment="1">
      <alignment horizontal="center" vertical="center"/>
    </xf>
    <xf numFmtId="38" fontId="64" fillId="0" borderId="43" xfId="0" applyNumberFormat="1" applyFont="1" applyBorder="1"/>
    <xf numFmtId="1" fontId="59" fillId="0" borderId="43" xfId="0" applyNumberFormat="1" applyFont="1" applyBorder="1"/>
    <xf numFmtId="167" fontId="64" fillId="0" borderId="43" xfId="0" applyNumberFormat="1" applyFont="1" applyBorder="1" applyAlignment="1">
      <alignment horizontal="right"/>
    </xf>
    <xf numFmtId="38" fontId="60" fillId="0" borderId="43" xfId="0" applyNumberFormat="1" applyFont="1" applyBorder="1"/>
    <xf numFmtId="0" fontId="64" fillId="0" borderId="43" xfId="0" applyFont="1" applyBorder="1"/>
    <xf numFmtId="0" fontId="64" fillId="36" borderId="43" xfId="0" applyFont="1" applyFill="1" applyBorder="1"/>
    <xf numFmtId="0" fontId="59" fillId="3" borderId="43" xfId="0" applyFont="1" applyFill="1" applyBorder="1"/>
    <xf numFmtId="165" fontId="64" fillId="3" borderId="43" xfId="0" applyNumberFormat="1" applyFont="1" applyFill="1" applyBorder="1"/>
    <xf numFmtId="14" fontId="59" fillId="5" borderId="43" xfId="0" applyNumberFormat="1" applyFont="1" applyFill="1" applyBorder="1" applyAlignment="1">
      <alignment horizontal="center"/>
    </xf>
    <xf numFmtId="14" fontId="60" fillId="5" borderId="43" xfId="0" applyNumberFormat="1" applyFont="1" applyFill="1" applyBorder="1" applyAlignment="1">
      <alignment horizontal="center"/>
    </xf>
    <xf numFmtId="38" fontId="59" fillId="38" borderId="43" xfId="0" applyNumberFormat="1" applyFont="1" applyFill="1" applyBorder="1" applyAlignment="1">
      <alignment horizontal="center" vertical="center"/>
    </xf>
    <xf numFmtId="38" fontId="59" fillId="0" borderId="43" xfId="0" applyNumberFormat="1" applyFont="1" applyBorder="1" applyAlignment="1">
      <alignment horizontal="center" vertical="center"/>
    </xf>
    <xf numFmtId="38" fontId="59" fillId="34" borderId="43" xfId="0" applyNumberFormat="1" applyFont="1" applyFill="1" applyBorder="1" applyAlignment="1">
      <alignment horizontal="center" vertical="center"/>
    </xf>
    <xf numFmtId="38" fontId="61" fillId="0" borderId="43" xfId="0" applyNumberFormat="1" applyFont="1" applyBorder="1" applyAlignment="1">
      <alignment horizontal="center"/>
    </xf>
    <xf numFmtId="38" fontId="62" fillId="0" borderId="43" xfId="0" applyNumberFormat="1" applyFont="1" applyBorder="1"/>
    <xf numFmtId="164" fontId="59" fillId="0" borderId="43" xfId="0" applyNumberFormat="1" applyFont="1" applyBorder="1"/>
    <xf numFmtId="49" fontId="60" fillId="5" borderId="43" xfId="0" applyNumberFormat="1" applyFont="1" applyFill="1" applyBorder="1" applyAlignment="1">
      <alignment horizontal="center"/>
    </xf>
    <xf numFmtId="9" fontId="59" fillId="4" borderId="43" xfId="1" applyFont="1" applyFill="1" applyBorder="1"/>
    <xf numFmtId="165" fontId="59" fillId="4" borderId="43" xfId="0" applyNumberFormat="1" applyFont="1" applyFill="1" applyBorder="1"/>
    <xf numFmtId="9" fontId="60" fillId="4" borderId="43" xfId="1" applyFont="1" applyFill="1" applyBorder="1"/>
    <xf numFmtId="40" fontId="63" fillId="35" borderId="43" xfId="0" applyNumberFormat="1" applyFont="1" applyFill="1" applyBorder="1" applyAlignment="1">
      <alignment horizontal="center" vertical="center"/>
    </xf>
    <xf numFmtId="38" fontId="63" fillId="35" borderId="43" xfId="0" applyNumberFormat="1" applyFont="1" applyFill="1" applyBorder="1" applyAlignment="1">
      <alignment horizontal="center" vertical="center"/>
    </xf>
    <xf numFmtId="166" fontId="59" fillId="6" borderId="35" xfId="1" applyNumberFormat="1" applyFont="1" applyFill="1" applyBorder="1" applyAlignment="1">
      <alignment horizontal="center" vertical="center"/>
    </xf>
    <xf numFmtId="166" fontId="59" fillId="4" borderId="35" xfId="1" applyNumberFormat="1" applyFont="1" applyFill="1" applyBorder="1" applyAlignment="1">
      <alignment horizontal="center" vertical="center"/>
    </xf>
    <xf numFmtId="2" fontId="59" fillId="4" borderId="35" xfId="1" applyNumberFormat="1" applyFont="1" applyFill="1" applyBorder="1" applyAlignment="1">
      <alignment horizontal="center" vertical="center"/>
    </xf>
    <xf numFmtId="166" fontId="59" fillId="6" borderId="35" xfId="0" applyNumberFormat="1" applyFont="1" applyFill="1" applyBorder="1"/>
    <xf numFmtId="166" fontId="59" fillId="6" borderId="43" xfId="0" applyNumberFormat="1" applyFont="1" applyFill="1" applyBorder="1"/>
    <xf numFmtId="166" fontId="59" fillId="4" borderId="35" xfId="0" applyNumberFormat="1" applyFont="1" applyFill="1" applyBorder="1"/>
    <xf numFmtId="3" fontId="59" fillId="6" borderId="43" xfId="0" applyNumberFormat="1" applyFont="1" applyFill="1" applyBorder="1"/>
    <xf numFmtId="38" fontId="59" fillId="0" borderId="43" xfId="0" applyNumberFormat="1" applyFont="1" applyBorder="1"/>
    <xf numFmtId="1" fontId="60" fillId="0" borderId="43" xfId="0" applyNumberFormat="1" applyFont="1" applyBorder="1"/>
    <xf numFmtId="167" fontId="59" fillId="0" borderId="43" xfId="0" applyNumberFormat="1" applyFont="1" applyBorder="1" applyAlignment="1">
      <alignment horizontal="right"/>
    </xf>
    <xf numFmtId="0" fontId="59" fillId="0" borderId="43" xfId="0" applyFont="1" applyBorder="1"/>
    <xf numFmtId="165" fontId="59" fillId="3" borderId="43" xfId="0" applyNumberFormat="1" applyFont="1" applyFill="1" applyBorder="1"/>
    <xf numFmtId="38" fontId="59" fillId="6" borderId="43" xfId="0" applyNumberFormat="1" applyFont="1" applyFill="1" applyBorder="1" applyAlignment="1">
      <alignment horizontal="center" vertical="center"/>
    </xf>
    <xf numFmtId="164" fontId="59" fillId="37" borderId="43" xfId="0" applyNumberFormat="1" applyFont="1" applyFill="1" applyBorder="1"/>
    <xf numFmtId="166" fontId="59" fillId="6" borderId="35" xfId="1" applyNumberFormat="1" applyFont="1" applyFill="1" applyBorder="1" applyAlignment="1">
      <alignment horizontal="center"/>
    </xf>
    <xf numFmtId="38" fontId="59" fillId="0" borderId="43" xfId="0" applyNumberFormat="1" applyFont="1" applyBorder="1" applyAlignment="1">
      <alignment horizontal="right"/>
    </xf>
    <xf numFmtId="38" fontId="59" fillId="0" borderId="43" xfId="0" applyNumberFormat="1" applyFont="1" applyBorder="1" applyAlignment="1">
      <alignment horizontal="left" vertical="center"/>
    </xf>
    <xf numFmtId="0" fontId="59" fillId="5" borderId="43" xfId="0" applyFont="1" applyFill="1" applyBorder="1"/>
    <xf numFmtId="166" fontId="59" fillId="6" borderId="43" xfId="1" applyNumberFormat="1" applyFont="1" applyFill="1" applyBorder="1" applyAlignment="1">
      <alignment horizontal="center" vertical="center"/>
    </xf>
  </cellXfs>
  <cellStyles count="2141">
    <cellStyle name="‡" xfId="20" xr:uid="{00000000-0005-0000-0000-000014000000}"/>
    <cellStyle name="‡_BOOK1" xfId="21" xr:uid="{00000000-0005-0000-0000-000015000000}"/>
    <cellStyle name="‡_STA-DRP" xfId="22" xr:uid="{00000000-0005-0000-0000-000016000000}"/>
    <cellStyle name="‡_STA-DRP_BOOK1" xfId="23" xr:uid="{00000000-0005-0000-0000-000017000000}"/>
    <cellStyle name="¹éºÐÀ²_±âÅ¸" xfId="24" xr:uid="{00000000-0005-0000-0000-000018000000}"/>
    <cellStyle name="20% - Accent1 2" xfId="25" xr:uid="{00000000-0005-0000-0000-000019000000}"/>
    <cellStyle name="20% - Accent1 2 10" xfId="1307" xr:uid="{00000000-0005-0000-0000-00001B050000}"/>
    <cellStyle name="20% - Accent1 2 11" xfId="1432" xr:uid="{00000000-0005-0000-0000-000098050000}"/>
    <cellStyle name="20% - Accent1 2 12" xfId="1557" xr:uid="{00000000-0005-0000-0000-000015060000}"/>
    <cellStyle name="20% - Accent1 2 13" xfId="1682" xr:uid="{00000000-0005-0000-0000-000092060000}"/>
    <cellStyle name="20% - Accent1 2 14" xfId="1798" xr:uid="{00000000-0005-0000-0000-000006070000}"/>
    <cellStyle name="20% - Accent1 2 15" xfId="1914" xr:uid="{00000000-0005-0000-0000-00007A070000}"/>
    <cellStyle name="20% - Accent1 2 16" xfId="2031" xr:uid="{00000000-0005-0000-0000-0000EF070000}"/>
    <cellStyle name="20% - Accent1 2 2" xfId="253" xr:uid="{00000000-0005-0000-0000-0000FD000000}"/>
    <cellStyle name="20% - Accent1 2 3" xfId="438" xr:uid="{00000000-0005-0000-0000-0000B6010000}"/>
    <cellStyle name="20% - Accent1 2 4" xfId="553" xr:uid="{00000000-0005-0000-0000-000029020000}"/>
    <cellStyle name="20% - Accent1 2 5" xfId="678" xr:uid="{00000000-0005-0000-0000-0000A6020000}"/>
    <cellStyle name="20% - Accent1 2 6" xfId="803" xr:uid="{00000000-0005-0000-0000-000023030000}"/>
    <cellStyle name="20% - Accent1 2 7" xfId="928" xr:uid="{00000000-0005-0000-0000-0000A0030000}"/>
    <cellStyle name="20% - Accent1 2 8" xfId="1058" xr:uid="{00000000-0005-0000-0000-000022040000}"/>
    <cellStyle name="20% - Accent1 2 9" xfId="1182" xr:uid="{00000000-0005-0000-0000-00009E040000}"/>
    <cellStyle name="20% - Accent2 2" xfId="26" xr:uid="{00000000-0005-0000-0000-00001A000000}"/>
    <cellStyle name="20% - Accent2 2 10" xfId="1308" xr:uid="{00000000-0005-0000-0000-00001C050000}"/>
    <cellStyle name="20% - Accent2 2 11" xfId="1433" xr:uid="{00000000-0005-0000-0000-000099050000}"/>
    <cellStyle name="20% - Accent2 2 12" xfId="1558" xr:uid="{00000000-0005-0000-0000-000016060000}"/>
    <cellStyle name="20% - Accent2 2 13" xfId="1683" xr:uid="{00000000-0005-0000-0000-000093060000}"/>
    <cellStyle name="20% - Accent2 2 14" xfId="1799" xr:uid="{00000000-0005-0000-0000-000007070000}"/>
    <cellStyle name="20% - Accent2 2 15" xfId="1915" xr:uid="{00000000-0005-0000-0000-00007B070000}"/>
    <cellStyle name="20% - Accent2 2 16" xfId="2032" xr:uid="{00000000-0005-0000-0000-0000F0070000}"/>
    <cellStyle name="20% - Accent2 2 2" xfId="254" xr:uid="{00000000-0005-0000-0000-0000FE000000}"/>
    <cellStyle name="20% - Accent2 2 3" xfId="439" xr:uid="{00000000-0005-0000-0000-0000B7010000}"/>
    <cellStyle name="20% - Accent2 2 4" xfId="554" xr:uid="{00000000-0005-0000-0000-00002A020000}"/>
    <cellStyle name="20% - Accent2 2 5" xfId="679" xr:uid="{00000000-0005-0000-0000-0000A7020000}"/>
    <cellStyle name="20% - Accent2 2 6" xfId="804" xr:uid="{00000000-0005-0000-0000-000024030000}"/>
    <cellStyle name="20% - Accent2 2 7" xfId="929" xr:uid="{00000000-0005-0000-0000-0000A1030000}"/>
    <cellStyle name="20% - Accent2 2 8" xfId="1059" xr:uid="{00000000-0005-0000-0000-000023040000}"/>
    <cellStyle name="20% - Accent2 2 9" xfId="1183" xr:uid="{00000000-0005-0000-0000-00009F040000}"/>
    <cellStyle name="20% - Accent3 2" xfId="27" xr:uid="{00000000-0005-0000-0000-00001B000000}"/>
    <cellStyle name="20% - Accent3 2 10" xfId="1309" xr:uid="{00000000-0005-0000-0000-00001D050000}"/>
    <cellStyle name="20% - Accent3 2 11" xfId="1434" xr:uid="{00000000-0005-0000-0000-00009A050000}"/>
    <cellStyle name="20% - Accent3 2 12" xfId="1559" xr:uid="{00000000-0005-0000-0000-000017060000}"/>
    <cellStyle name="20% - Accent3 2 13" xfId="1684" xr:uid="{00000000-0005-0000-0000-000094060000}"/>
    <cellStyle name="20% - Accent3 2 14" xfId="1800" xr:uid="{00000000-0005-0000-0000-000008070000}"/>
    <cellStyle name="20% - Accent3 2 15" xfId="1916" xr:uid="{00000000-0005-0000-0000-00007C070000}"/>
    <cellStyle name="20% - Accent3 2 16" xfId="2033" xr:uid="{00000000-0005-0000-0000-0000F1070000}"/>
    <cellStyle name="20% - Accent3 2 2" xfId="255" xr:uid="{00000000-0005-0000-0000-0000FF000000}"/>
    <cellStyle name="20% - Accent3 2 3" xfId="440" xr:uid="{00000000-0005-0000-0000-0000B8010000}"/>
    <cellStyle name="20% - Accent3 2 4" xfId="555" xr:uid="{00000000-0005-0000-0000-00002B020000}"/>
    <cellStyle name="20% - Accent3 2 5" xfId="680" xr:uid="{00000000-0005-0000-0000-0000A8020000}"/>
    <cellStyle name="20% - Accent3 2 6" xfId="805" xr:uid="{00000000-0005-0000-0000-000025030000}"/>
    <cellStyle name="20% - Accent3 2 7" xfId="930" xr:uid="{00000000-0005-0000-0000-0000A2030000}"/>
    <cellStyle name="20% - Accent3 2 8" xfId="1060" xr:uid="{00000000-0005-0000-0000-000024040000}"/>
    <cellStyle name="20% - Accent3 2 9" xfId="1184" xr:uid="{00000000-0005-0000-0000-0000A0040000}"/>
    <cellStyle name="20% - Accent4 2" xfId="28" xr:uid="{00000000-0005-0000-0000-00001C000000}"/>
    <cellStyle name="20% - Accent4 2 10" xfId="1310" xr:uid="{00000000-0005-0000-0000-00001E050000}"/>
    <cellStyle name="20% - Accent4 2 11" xfId="1435" xr:uid="{00000000-0005-0000-0000-00009B050000}"/>
    <cellStyle name="20% - Accent4 2 12" xfId="1560" xr:uid="{00000000-0005-0000-0000-000018060000}"/>
    <cellStyle name="20% - Accent4 2 13" xfId="1685" xr:uid="{00000000-0005-0000-0000-000095060000}"/>
    <cellStyle name="20% - Accent4 2 14" xfId="1801" xr:uid="{00000000-0005-0000-0000-000009070000}"/>
    <cellStyle name="20% - Accent4 2 15" xfId="1917" xr:uid="{00000000-0005-0000-0000-00007D070000}"/>
    <cellStyle name="20% - Accent4 2 16" xfId="2034" xr:uid="{00000000-0005-0000-0000-0000F2070000}"/>
    <cellStyle name="20% - Accent4 2 2" xfId="256" xr:uid="{00000000-0005-0000-0000-000000010000}"/>
    <cellStyle name="20% - Accent4 2 3" xfId="441" xr:uid="{00000000-0005-0000-0000-0000B9010000}"/>
    <cellStyle name="20% - Accent4 2 4" xfId="556" xr:uid="{00000000-0005-0000-0000-00002C020000}"/>
    <cellStyle name="20% - Accent4 2 5" xfId="681" xr:uid="{00000000-0005-0000-0000-0000A9020000}"/>
    <cellStyle name="20% - Accent4 2 6" xfId="806" xr:uid="{00000000-0005-0000-0000-000026030000}"/>
    <cellStyle name="20% - Accent4 2 7" xfId="931" xr:uid="{00000000-0005-0000-0000-0000A3030000}"/>
    <cellStyle name="20% - Accent4 2 8" xfId="1061" xr:uid="{00000000-0005-0000-0000-000025040000}"/>
    <cellStyle name="20% - Accent4 2 9" xfId="1185" xr:uid="{00000000-0005-0000-0000-0000A1040000}"/>
    <cellStyle name="20% - Accent5 2" xfId="29" xr:uid="{00000000-0005-0000-0000-00001D000000}"/>
    <cellStyle name="20% - Accent5 2 10" xfId="1311" xr:uid="{00000000-0005-0000-0000-00001F050000}"/>
    <cellStyle name="20% - Accent5 2 11" xfId="1436" xr:uid="{00000000-0005-0000-0000-00009C050000}"/>
    <cellStyle name="20% - Accent5 2 12" xfId="1561" xr:uid="{00000000-0005-0000-0000-000019060000}"/>
    <cellStyle name="20% - Accent5 2 13" xfId="1686" xr:uid="{00000000-0005-0000-0000-000096060000}"/>
    <cellStyle name="20% - Accent5 2 14" xfId="1802" xr:uid="{00000000-0005-0000-0000-00000A070000}"/>
    <cellStyle name="20% - Accent5 2 15" xfId="1918" xr:uid="{00000000-0005-0000-0000-00007E070000}"/>
    <cellStyle name="20% - Accent5 2 16" xfId="2035" xr:uid="{00000000-0005-0000-0000-0000F3070000}"/>
    <cellStyle name="20% - Accent5 2 2" xfId="257" xr:uid="{00000000-0005-0000-0000-000001010000}"/>
    <cellStyle name="20% - Accent5 2 3" xfId="442" xr:uid="{00000000-0005-0000-0000-0000BA010000}"/>
    <cellStyle name="20% - Accent5 2 4" xfId="557" xr:uid="{00000000-0005-0000-0000-00002D020000}"/>
    <cellStyle name="20% - Accent5 2 5" xfId="682" xr:uid="{00000000-0005-0000-0000-0000AA020000}"/>
    <cellStyle name="20% - Accent5 2 6" xfId="807" xr:uid="{00000000-0005-0000-0000-000027030000}"/>
    <cellStyle name="20% - Accent5 2 7" xfId="932" xr:uid="{00000000-0005-0000-0000-0000A4030000}"/>
    <cellStyle name="20% - Accent5 2 8" xfId="1062" xr:uid="{00000000-0005-0000-0000-000026040000}"/>
    <cellStyle name="20% - Accent5 2 9" xfId="1186" xr:uid="{00000000-0005-0000-0000-0000A2040000}"/>
    <cellStyle name="20% - Accent6 2" xfId="30" xr:uid="{00000000-0005-0000-0000-00001E000000}"/>
    <cellStyle name="20% - Accent6 2 10" xfId="1312" xr:uid="{00000000-0005-0000-0000-000020050000}"/>
    <cellStyle name="20% - Accent6 2 11" xfId="1437" xr:uid="{00000000-0005-0000-0000-00009D050000}"/>
    <cellStyle name="20% - Accent6 2 12" xfId="1562" xr:uid="{00000000-0005-0000-0000-00001A060000}"/>
    <cellStyle name="20% - Accent6 2 13" xfId="1687" xr:uid="{00000000-0005-0000-0000-000097060000}"/>
    <cellStyle name="20% - Accent6 2 14" xfId="1803" xr:uid="{00000000-0005-0000-0000-00000B070000}"/>
    <cellStyle name="20% - Accent6 2 15" xfId="1919" xr:uid="{00000000-0005-0000-0000-00007F070000}"/>
    <cellStyle name="20% - Accent6 2 16" xfId="2036" xr:uid="{00000000-0005-0000-0000-0000F4070000}"/>
    <cellStyle name="20% - Accent6 2 2" xfId="258" xr:uid="{00000000-0005-0000-0000-000002010000}"/>
    <cellStyle name="20% - Accent6 2 3" xfId="443" xr:uid="{00000000-0005-0000-0000-0000BB010000}"/>
    <cellStyle name="20% - Accent6 2 4" xfId="558" xr:uid="{00000000-0005-0000-0000-00002E020000}"/>
    <cellStyle name="20% - Accent6 2 5" xfId="683" xr:uid="{00000000-0005-0000-0000-0000AB020000}"/>
    <cellStyle name="20% - Accent6 2 6" xfId="808" xr:uid="{00000000-0005-0000-0000-000028030000}"/>
    <cellStyle name="20% - Accent6 2 7" xfId="933" xr:uid="{00000000-0005-0000-0000-0000A5030000}"/>
    <cellStyle name="20% - Accent6 2 8" xfId="1063" xr:uid="{00000000-0005-0000-0000-000027040000}"/>
    <cellStyle name="20% - Accent6 2 9" xfId="1187" xr:uid="{00000000-0005-0000-0000-0000A3040000}"/>
    <cellStyle name="20% - ส่วนที่ถูกเน้น1" xfId="31" xr:uid="{00000000-0005-0000-0000-00001F000000}"/>
    <cellStyle name="20% - ส่วนที่ถูกเน้น1 10" xfId="1313" xr:uid="{00000000-0005-0000-0000-000021050000}"/>
    <cellStyle name="20% - ส่วนที่ถูกเน้น1 11" xfId="1438" xr:uid="{00000000-0005-0000-0000-00009E050000}"/>
    <cellStyle name="20% - ส่วนที่ถูกเน้น1 12" xfId="1563" xr:uid="{00000000-0005-0000-0000-00001B060000}"/>
    <cellStyle name="20% - ส่วนที่ถูกเน้น1 13" xfId="1688" xr:uid="{00000000-0005-0000-0000-000098060000}"/>
    <cellStyle name="20% - ส่วนที่ถูกเน้น1 14" xfId="1804" xr:uid="{00000000-0005-0000-0000-00000C070000}"/>
    <cellStyle name="20% - ส่วนที่ถูกเน้น1 15" xfId="1920" xr:uid="{00000000-0005-0000-0000-000080070000}"/>
    <cellStyle name="20% - ส่วนที่ถูกเน้น1 16" xfId="2037" xr:uid="{00000000-0005-0000-0000-0000F5070000}"/>
    <cellStyle name="20% - ส่วนที่ถูกเน้น1 2" xfId="259" xr:uid="{00000000-0005-0000-0000-000003010000}"/>
    <cellStyle name="20% - ส่วนที่ถูกเน้น1 3" xfId="444" xr:uid="{00000000-0005-0000-0000-0000BC010000}"/>
    <cellStyle name="20% - ส่วนที่ถูกเน้น1 4" xfId="559" xr:uid="{00000000-0005-0000-0000-00002F020000}"/>
    <cellStyle name="20% - ส่วนที่ถูกเน้น1 5" xfId="684" xr:uid="{00000000-0005-0000-0000-0000AC020000}"/>
    <cellStyle name="20% - ส่วนที่ถูกเน้น1 6" xfId="809" xr:uid="{00000000-0005-0000-0000-000029030000}"/>
    <cellStyle name="20% - ส่วนที่ถูกเน้น1 7" xfId="934" xr:uid="{00000000-0005-0000-0000-0000A6030000}"/>
    <cellStyle name="20% - ส่วนที่ถูกเน้น1 8" xfId="1064" xr:uid="{00000000-0005-0000-0000-000028040000}"/>
    <cellStyle name="20% - ส่วนที่ถูกเน้น1 9" xfId="1188" xr:uid="{00000000-0005-0000-0000-0000A4040000}"/>
    <cellStyle name="20% - ส่วนที่ถูกเน้น2" xfId="32" xr:uid="{00000000-0005-0000-0000-000020000000}"/>
    <cellStyle name="20% - ส่วนที่ถูกเน้น2 10" xfId="1314" xr:uid="{00000000-0005-0000-0000-000022050000}"/>
    <cellStyle name="20% - ส่วนที่ถูกเน้น2 11" xfId="1439" xr:uid="{00000000-0005-0000-0000-00009F050000}"/>
    <cellStyle name="20% - ส่วนที่ถูกเน้น2 12" xfId="1564" xr:uid="{00000000-0005-0000-0000-00001C060000}"/>
    <cellStyle name="20% - ส่วนที่ถูกเน้น2 13" xfId="1689" xr:uid="{00000000-0005-0000-0000-000099060000}"/>
    <cellStyle name="20% - ส่วนที่ถูกเน้น2 14" xfId="1805" xr:uid="{00000000-0005-0000-0000-00000D070000}"/>
    <cellStyle name="20% - ส่วนที่ถูกเน้น2 15" xfId="1921" xr:uid="{00000000-0005-0000-0000-000081070000}"/>
    <cellStyle name="20% - ส่วนที่ถูกเน้น2 16" xfId="2038" xr:uid="{00000000-0005-0000-0000-0000F6070000}"/>
    <cellStyle name="20% - ส่วนที่ถูกเน้น2 2" xfId="260" xr:uid="{00000000-0005-0000-0000-000004010000}"/>
    <cellStyle name="20% - ส่วนที่ถูกเน้น2 3" xfId="445" xr:uid="{00000000-0005-0000-0000-0000BD010000}"/>
    <cellStyle name="20% - ส่วนที่ถูกเน้น2 4" xfId="560" xr:uid="{00000000-0005-0000-0000-000030020000}"/>
    <cellStyle name="20% - ส่วนที่ถูกเน้น2 5" xfId="685" xr:uid="{00000000-0005-0000-0000-0000AD020000}"/>
    <cellStyle name="20% - ส่วนที่ถูกเน้น2 6" xfId="810" xr:uid="{00000000-0005-0000-0000-00002A030000}"/>
    <cellStyle name="20% - ส่วนที่ถูกเน้น2 7" xfId="935" xr:uid="{00000000-0005-0000-0000-0000A7030000}"/>
    <cellStyle name="20% - ส่วนที่ถูกเน้น2 8" xfId="1065" xr:uid="{00000000-0005-0000-0000-000029040000}"/>
    <cellStyle name="20% - ส่วนที่ถูกเน้น2 9" xfId="1189" xr:uid="{00000000-0005-0000-0000-0000A5040000}"/>
    <cellStyle name="20% - ส่วนที่ถูกเน้น3" xfId="33" xr:uid="{00000000-0005-0000-0000-000021000000}"/>
    <cellStyle name="20% - ส่วนที่ถูกเน้น3 10" xfId="1315" xr:uid="{00000000-0005-0000-0000-000023050000}"/>
    <cellStyle name="20% - ส่วนที่ถูกเน้น3 11" xfId="1440" xr:uid="{00000000-0005-0000-0000-0000A0050000}"/>
    <cellStyle name="20% - ส่วนที่ถูกเน้น3 12" xfId="1565" xr:uid="{00000000-0005-0000-0000-00001D060000}"/>
    <cellStyle name="20% - ส่วนที่ถูกเน้น3 13" xfId="1690" xr:uid="{00000000-0005-0000-0000-00009A060000}"/>
    <cellStyle name="20% - ส่วนที่ถูกเน้น3 14" xfId="1806" xr:uid="{00000000-0005-0000-0000-00000E070000}"/>
    <cellStyle name="20% - ส่วนที่ถูกเน้น3 15" xfId="1922" xr:uid="{00000000-0005-0000-0000-000082070000}"/>
    <cellStyle name="20% - ส่วนที่ถูกเน้น3 16" xfId="2039" xr:uid="{00000000-0005-0000-0000-0000F7070000}"/>
    <cellStyle name="20% - ส่วนที่ถูกเน้น3 2" xfId="261" xr:uid="{00000000-0005-0000-0000-000005010000}"/>
    <cellStyle name="20% - ส่วนที่ถูกเน้น3 3" xfId="446" xr:uid="{00000000-0005-0000-0000-0000BE010000}"/>
    <cellStyle name="20% - ส่วนที่ถูกเน้น3 4" xfId="561" xr:uid="{00000000-0005-0000-0000-000031020000}"/>
    <cellStyle name="20% - ส่วนที่ถูกเน้น3 5" xfId="686" xr:uid="{00000000-0005-0000-0000-0000AE020000}"/>
    <cellStyle name="20% - ส่วนที่ถูกเน้น3 6" xfId="811" xr:uid="{00000000-0005-0000-0000-00002B030000}"/>
    <cellStyle name="20% - ส่วนที่ถูกเน้น3 7" xfId="936" xr:uid="{00000000-0005-0000-0000-0000A8030000}"/>
    <cellStyle name="20% - ส่วนที่ถูกเน้น3 8" xfId="1066" xr:uid="{00000000-0005-0000-0000-00002A040000}"/>
    <cellStyle name="20% - ส่วนที่ถูกเน้น3 9" xfId="1190" xr:uid="{00000000-0005-0000-0000-0000A6040000}"/>
    <cellStyle name="20% - ส่วนที่ถูกเน้น4" xfId="34" xr:uid="{00000000-0005-0000-0000-000022000000}"/>
    <cellStyle name="20% - ส่วนที่ถูกเน้น4 10" xfId="1316" xr:uid="{00000000-0005-0000-0000-000024050000}"/>
    <cellStyle name="20% - ส่วนที่ถูกเน้น4 11" xfId="1441" xr:uid="{00000000-0005-0000-0000-0000A1050000}"/>
    <cellStyle name="20% - ส่วนที่ถูกเน้น4 12" xfId="1566" xr:uid="{00000000-0005-0000-0000-00001E060000}"/>
    <cellStyle name="20% - ส่วนที่ถูกเน้น4 13" xfId="1691" xr:uid="{00000000-0005-0000-0000-00009B060000}"/>
    <cellStyle name="20% - ส่วนที่ถูกเน้น4 14" xfId="1807" xr:uid="{00000000-0005-0000-0000-00000F070000}"/>
    <cellStyle name="20% - ส่วนที่ถูกเน้น4 15" xfId="1923" xr:uid="{00000000-0005-0000-0000-000083070000}"/>
    <cellStyle name="20% - ส่วนที่ถูกเน้น4 16" xfId="2040" xr:uid="{00000000-0005-0000-0000-0000F8070000}"/>
    <cellStyle name="20% - ส่วนที่ถูกเน้น4 2" xfId="262" xr:uid="{00000000-0005-0000-0000-000006010000}"/>
    <cellStyle name="20% - ส่วนที่ถูกเน้น4 3" xfId="447" xr:uid="{00000000-0005-0000-0000-0000BF010000}"/>
    <cellStyle name="20% - ส่วนที่ถูกเน้น4 4" xfId="562" xr:uid="{00000000-0005-0000-0000-000032020000}"/>
    <cellStyle name="20% - ส่วนที่ถูกเน้น4 5" xfId="687" xr:uid="{00000000-0005-0000-0000-0000AF020000}"/>
    <cellStyle name="20% - ส่วนที่ถูกเน้น4 6" xfId="812" xr:uid="{00000000-0005-0000-0000-00002C030000}"/>
    <cellStyle name="20% - ส่วนที่ถูกเน้น4 7" xfId="937" xr:uid="{00000000-0005-0000-0000-0000A9030000}"/>
    <cellStyle name="20% - ส่วนที่ถูกเน้น4 8" xfId="1067" xr:uid="{00000000-0005-0000-0000-00002B040000}"/>
    <cellStyle name="20% - ส่วนที่ถูกเน้น4 9" xfId="1191" xr:uid="{00000000-0005-0000-0000-0000A7040000}"/>
    <cellStyle name="20% - ส่วนที่ถูกเน้น5" xfId="35" xr:uid="{00000000-0005-0000-0000-000023000000}"/>
    <cellStyle name="20% - ส่วนที่ถูกเน้น5 10" xfId="1317" xr:uid="{00000000-0005-0000-0000-000025050000}"/>
    <cellStyle name="20% - ส่วนที่ถูกเน้น5 11" xfId="1442" xr:uid="{00000000-0005-0000-0000-0000A2050000}"/>
    <cellStyle name="20% - ส่วนที่ถูกเน้น5 12" xfId="1567" xr:uid="{00000000-0005-0000-0000-00001F060000}"/>
    <cellStyle name="20% - ส่วนที่ถูกเน้น5 13" xfId="1692" xr:uid="{00000000-0005-0000-0000-00009C060000}"/>
    <cellStyle name="20% - ส่วนที่ถูกเน้น5 14" xfId="1808" xr:uid="{00000000-0005-0000-0000-000010070000}"/>
    <cellStyle name="20% - ส่วนที่ถูกเน้น5 15" xfId="1924" xr:uid="{00000000-0005-0000-0000-000084070000}"/>
    <cellStyle name="20% - ส่วนที่ถูกเน้น5 16" xfId="2041" xr:uid="{00000000-0005-0000-0000-0000F9070000}"/>
    <cellStyle name="20% - ส่วนที่ถูกเน้น5 2" xfId="263" xr:uid="{00000000-0005-0000-0000-000007010000}"/>
    <cellStyle name="20% - ส่วนที่ถูกเน้น5 3" xfId="448" xr:uid="{00000000-0005-0000-0000-0000C0010000}"/>
    <cellStyle name="20% - ส่วนที่ถูกเน้น5 4" xfId="563" xr:uid="{00000000-0005-0000-0000-000033020000}"/>
    <cellStyle name="20% - ส่วนที่ถูกเน้น5 5" xfId="688" xr:uid="{00000000-0005-0000-0000-0000B0020000}"/>
    <cellStyle name="20% - ส่วนที่ถูกเน้น5 6" xfId="813" xr:uid="{00000000-0005-0000-0000-00002D030000}"/>
    <cellStyle name="20% - ส่วนที่ถูกเน้น5 7" xfId="938" xr:uid="{00000000-0005-0000-0000-0000AA030000}"/>
    <cellStyle name="20% - ส่วนที่ถูกเน้น5 8" xfId="1068" xr:uid="{00000000-0005-0000-0000-00002C040000}"/>
    <cellStyle name="20% - ส่วนที่ถูกเน้น5 9" xfId="1192" xr:uid="{00000000-0005-0000-0000-0000A8040000}"/>
    <cellStyle name="20% - ส่วนที่ถูกเน้น6" xfId="36" xr:uid="{00000000-0005-0000-0000-000024000000}"/>
    <cellStyle name="20% - ส่วนที่ถูกเน้น6 10" xfId="1318" xr:uid="{00000000-0005-0000-0000-000026050000}"/>
    <cellStyle name="20% - ส่วนที่ถูกเน้น6 11" xfId="1443" xr:uid="{00000000-0005-0000-0000-0000A3050000}"/>
    <cellStyle name="20% - ส่วนที่ถูกเน้น6 12" xfId="1568" xr:uid="{00000000-0005-0000-0000-000020060000}"/>
    <cellStyle name="20% - ส่วนที่ถูกเน้น6 13" xfId="1693" xr:uid="{00000000-0005-0000-0000-00009D060000}"/>
    <cellStyle name="20% - ส่วนที่ถูกเน้น6 14" xfId="1809" xr:uid="{00000000-0005-0000-0000-000011070000}"/>
    <cellStyle name="20% - ส่วนที่ถูกเน้น6 15" xfId="1925" xr:uid="{00000000-0005-0000-0000-000085070000}"/>
    <cellStyle name="20% - ส่วนที่ถูกเน้น6 16" xfId="2042" xr:uid="{00000000-0005-0000-0000-0000FA070000}"/>
    <cellStyle name="20% - ส่วนที่ถูกเน้น6 2" xfId="264" xr:uid="{00000000-0005-0000-0000-000008010000}"/>
    <cellStyle name="20% - ส่วนที่ถูกเน้น6 3" xfId="449" xr:uid="{00000000-0005-0000-0000-0000C1010000}"/>
    <cellStyle name="20% - ส่วนที่ถูกเน้น6 4" xfId="564" xr:uid="{00000000-0005-0000-0000-000034020000}"/>
    <cellStyle name="20% - ส่วนที่ถูกเน้น6 5" xfId="689" xr:uid="{00000000-0005-0000-0000-0000B1020000}"/>
    <cellStyle name="20% - ส่วนที่ถูกเน้น6 6" xfId="814" xr:uid="{00000000-0005-0000-0000-00002E030000}"/>
    <cellStyle name="20% - ส่วนที่ถูกเน้น6 7" xfId="939" xr:uid="{00000000-0005-0000-0000-0000AB030000}"/>
    <cellStyle name="20% - ส่วนที่ถูกเน้น6 8" xfId="1069" xr:uid="{00000000-0005-0000-0000-00002D040000}"/>
    <cellStyle name="20% - ส่วนที่ถูกเน้น6 9" xfId="1193" xr:uid="{00000000-0005-0000-0000-0000A9040000}"/>
    <cellStyle name="40% - Accent1 2" xfId="37" xr:uid="{00000000-0005-0000-0000-000025000000}"/>
    <cellStyle name="40% - Accent1 2 10" xfId="1319" xr:uid="{00000000-0005-0000-0000-000027050000}"/>
    <cellStyle name="40% - Accent1 2 11" xfId="1444" xr:uid="{00000000-0005-0000-0000-0000A4050000}"/>
    <cellStyle name="40% - Accent1 2 12" xfId="1569" xr:uid="{00000000-0005-0000-0000-000021060000}"/>
    <cellStyle name="40% - Accent1 2 13" xfId="1694" xr:uid="{00000000-0005-0000-0000-00009E060000}"/>
    <cellStyle name="40% - Accent1 2 14" xfId="1810" xr:uid="{00000000-0005-0000-0000-000012070000}"/>
    <cellStyle name="40% - Accent1 2 15" xfId="1926" xr:uid="{00000000-0005-0000-0000-000086070000}"/>
    <cellStyle name="40% - Accent1 2 16" xfId="2043" xr:uid="{00000000-0005-0000-0000-0000FB070000}"/>
    <cellStyle name="40% - Accent1 2 2" xfId="265" xr:uid="{00000000-0005-0000-0000-000009010000}"/>
    <cellStyle name="40% - Accent1 2 3" xfId="450" xr:uid="{00000000-0005-0000-0000-0000C2010000}"/>
    <cellStyle name="40% - Accent1 2 4" xfId="565" xr:uid="{00000000-0005-0000-0000-000035020000}"/>
    <cellStyle name="40% - Accent1 2 5" xfId="690" xr:uid="{00000000-0005-0000-0000-0000B2020000}"/>
    <cellStyle name="40% - Accent1 2 6" xfId="815" xr:uid="{00000000-0005-0000-0000-00002F030000}"/>
    <cellStyle name="40% - Accent1 2 7" xfId="940" xr:uid="{00000000-0005-0000-0000-0000AC030000}"/>
    <cellStyle name="40% - Accent1 2 8" xfId="1070" xr:uid="{00000000-0005-0000-0000-00002E040000}"/>
    <cellStyle name="40% - Accent1 2 9" xfId="1194" xr:uid="{00000000-0005-0000-0000-0000AA040000}"/>
    <cellStyle name="40% - Accent2 2" xfId="38" xr:uid="{00000000-0005-0000-0000-000026000000}"/>
    <cellStyle name="40% - Accent2 2 10" xfId="1320" xr:uid="{00000000-0005-0000-0000-000028050000}"/>
    <cellStyle name="40% - Accent2 2 11" xfId="1445" xr:uid="{00000000-0005-0000-0000-0000A5050000}"/>
    <cellStyle name="40% - Accent2 2 12" xfId="1570" xr:uid="{00000000-0005-0000-0000-000022060000}"/>
    <cellStyle name="40% - Accent2 2 13" xfId="1695" xr:uid="{00000000-0005-0000-0000-00009F060000}"/>
    <cellStyle name="40% - Accent2 2 14" xfId="1811" xr:uid="{00000000-0005-0000-0000-000013070000}"/>
    <cellStyle name="40% - Accent2 2 15" xfId="1927" xr:uid="{00000000-0005-0000-0000-000087070000}"/>
    <cellStyle name="40% - Accent2 2 16" xfId="2044" xr:uid="{00000000-0005-0000-0000-0000FC070000}"/>
    <cellStyle name="40% - Accent2 2 2" xfId="266" xr:uid="{00000000-0005-0000-0000-00000A010000}"/>
    <cellStyle name="40% - Accent2 2 3" xfId="451" xr:uid="{00000000-0005-0000-0000-0000C3010000}"/>
    <cellStyle name="40% - Accent2 2 4" xfId="566" xr:uid="{00000000-0005-0000-0000-000036020000}"/>
    <cellStyle name="40% - Accent2 2 5" xfId="691" xr:uid="{00000000-0005-0000-0000-0000B3020000}"/>
    <cellStyle name="40% - Accent2 2 6" xfId="816" xr:uid="{00000000-0005-0000-0000-000030030000}"/>
    <cellStyle name="40% - Accent2 2 7" xfId="941" xr:uid="{00000000-0005-0000-0000-0000AD030000}"/>
    <cellStyle name="40% - Accent2 2 8" xfId="1071" xr:uid="{00000000-0005-0000-0000-00002F040000}"/>
    <cellStyle name="40% - Accent2 2 9" xfId="1195" xr:uid="{00000000-0005-0000-0000-0000AB040000}"/>
    <cellStyle name="40% - Accent3 2" xfId="39" xr:uid="{00000000-0005-0000-0000-000027000000}"/>
    <cellStyle name="40% - Accent3 2 10" xfId="1321" xr:uid="{00000000-0005-0000-0000-000029050000}"/>
    <cellStyle name="40% - Accent3 2 11" xfId="1446" xr:uid="{00000000-0005-0000-0000-0000A6050000}"/>
    <cellStyle name="40% - Accent3 2 12" xfId="1571" xr:uid="{00000000-0005-0000-0000-000023060000}"/>
    <cellStyle name="40% - Accent3 2 13" xfId="1696" xr:uid="{00000000-0005-0000-0000-0000A0060000}"/>
    <cellStyle name="40% - Accent3 2 14" xfId="1812" xr:uid="{00000000-0005-0000-0000-000014070000}"/>
    <cellStyle name="40% - Accent3 2 15" xfId="1928" xr:uid="{00000000-0005-0000-0000-000088070000}"/>
    <cellStyle name="40% - Accent3 2 16" xfId="2045" xr:uid="{00000000-0005-0000-0000-0000FD070000}"/>
    <cellStyle name="40% - Accent3 2 2" xfId="267" xr:uid="{00000000-0005-0000-0000-00000B010000}"/>
    <cellStyle name="40% - Accent3 2 3" xfId="452" xr:uid="{00000000-0005-0000-0000-0000C4010000}"/>
    <cellStyle name="40% - Accent3 2 4" xfId="567" xr:uid="{00000000-0005-0000-0000-000037020000}"/>
    <cellStyle name="40% - Accent3 2 5" xfId="692" xr:uid="{00000000-0005-0000-0000-0000B4020000}"/>
    <cellStyle name="40% - Accent3 2 6" xfId="817" xr:uid="{00000000-0005-0000-0000-000031030000}"/>
    <cellStyle name="40% - Accent3 2 7" xfId="942" xr:uid="{00000000-0005-0000-0000-0000AE030000}"/>
    <cellStyle name="40% - Accent3 2 8" xfId="1072" xr:uid="{00000000-0005-0000-0000-000030040000}"/>
    <cellStyle name="40% - Accent3 2 9" xfId="1196" xr:uid="{00000000-0005-0000-0000-0000AC040000}"/>
    <cellStyle name="40% - Accent4 2" xfId="40" xr:uid="{00000000-0005-0000-0000-000028000000}"/>
    <cellStyle name="40% - Accent4 2 10" xfId="1322" xr:uid="{00000000-0005-0000-0000-00002A050000}"/>
    <cellStyle name="40% - Accent4 2 11" xfId="1447" xr:uid="{00000000-0005-0000-0000-0000A7050000}"/>
    <cellStyle name="40% - Accent4 2 12" xfId="1572" xr:uid="{00000000-0005-0000-0000-000024060000}"/>
    <cellStyle name="40% - Accent4 2 13" xfId="1697" xr:uid="{00000000-0005-0000-0000-0000A1060000}"/>
    <cellStyle name="40% - Accent4 2 14" xfId="1813" xr:uid="{00000000-0005-0000-0000-000015070000}"/>
    <cellStyle name="40% - Accent4 2 15" xfId="1929" xr:uid="{00000000-0005-0000-0000-000089070000}"/>
    <cellStyle name="40% - Accent4 2 16" xfId="2046" xr:uid="{00000000-0005-0000-0000-0000FE070000}"/>
    <cellStyle name="40% - Accent4 2 2" xfId="268" xr:uid="{00000000-0005-0000-0000-00000C010000}"/>
    <cellStyle name="40% - Accent4 2 3" xfId="453" xr:uid="{00000000-0005-0000-0000-0000C5010000}"/>
    <cellStyle name="40% - Accent4 2 4" xfId="568" xr:uid="{00000000-0005-0000-0000-000038020000}"/>
    <cellStyle name="40% - Accent4 2 5" xfId="693" xr:uid="{00000000-0005-0000-0000-0000B5020000}"/>
    <cellStyle name="40% - Accent4 2 6" xfId="818" xr:uid="{00000000-0005-0000-0000-000032030000}"/>
    <cellStyle name="40% - Accent4 2 7" xfId="943" xr:uid="{00000000-0005-0000-0000-0000AF030000}"/>
    <cellStyle name="40% - Accent4 2 8" xfId="1073" xr:uid="{00000000-0005-0000-0000-000031040000}"/>
    <cellStyle name="40% - Accent4 2 9" xfId="1197" xr:uid="{00000000-0005-0000-0000-0000AD040000}"/>
    <cellStyle name="40% - Accent5 2" xfId="41" xr:uid="{00000000-0005-0000-0000-000029000000}"/>
    <cellStyle name="40% - Accent5 2 10" xfId="1323" xr:uid="{00000000-0005-0000-0000-00002B050000}"/>
    <cellStyle name="40% - Accent5 2 11" xfId="1448" xr:uid="{00000000-0005-0000-0000-0000A8050000}"/>
    <cellStyle name="40% - Accent5 2 12" xfId="1573" xr:uid="{00000000-0005-0000-0000-000025060000}"/>
    <cellStyle name="40% - Accent5 2 13" xfId="1698" xr:uid="{00000000-0005-0000-0000-0000A2060000}"/>
    <cellStyle name="40% - Accent5 2 14" xfId="1814" xr:uid="{00000000-0005-0000-0000-000016070000}"/>
    <cellStyle name="40% - Accent5 2 15" xfId="1930" xr:uid="{00000000-0005-0000-0000-00008A070000}"/>
    <cellStyle name="40% - Accent5 2 16" xfId="2047" xr:uid="{00000000-0005-0000-0000-0000FF070000}"/>
    <cellStyle name="40% - Accent5 2 2" xfId="269" xr:uid="{00000000-0005-0000-0000-00000D010000}"/>
    <cellStyle name="40% - Accent5 2 3" xfId="454" xr:uid="{00000000-0005-0000-0000-0000C6010000}"/>
    <cellStyle name="40% - Accent5 2 4" xfId="569" xr:uid="{00000000-0005-0000-0000-000039020000}"/>
    <cellStyle name="40% - Accent5 2 5" xfId="694" xr:uid="{00000000-0005-0000-0000-0000B6020000}"/>
    <cellStyle name="40% - Accent5 2 6" xfId="819" xr:uid="{00000000-0005-0000-0000-000033030000}"/>
    <cellStyle name="40% - Accent5 2 7" xfId="944" xr:uid="{00000000-0005-0000-0000-0000B0030000}"/>
    <cellStyle name="40% - Accent5 2 8" xfId="1074" xr:uid="{00000000-0005-0000-0000-000032040000}"/>
    <cellStyle name="40% - Accent5 2 9" xfId="1198" xr:uid="{00000000-0005-0000-0000-0000AE040000}"/>
    <cellStyle name="40% - Accent6 2" xfId="42" xr:uid="{00000000-0005-0000-0000-00002A000000}"/>
    <cellStyle name="40% - Accent6 2 10" xfId="1324" xr:uid="{00000000-0005-0000-0000-00002C050000}"/>
    <cellStyle name="40% - Accent6 2 11" xfId="1449" xr:uid="{00000000-0005-0000-0000-0000A9050000}"/>
    <cellStyle name="40% - Accent6 2 12" xfId="1574" xr:uid="{00000000-0005-0000-0000-000026060000}"/>
    <cellStyle name="40% - Accent6 2 13" xfId="1699" xr:uid="{00000000-0005-0000-0000-0000A3060000}"/>
    <cellStyle name="40% - Accent6 2 14" xfId="1815" xr:uid="{00000000-0005-0000-0000-000017070000}"/>
    <cellStyle name="40% - Accent6 2 15" xfId="1931" xr:uid="{00000000-0005-0000-0000-00008B070000}"/>
    <cellStyle name="40% - Accent6 2 16" xfId="2048" xr:uid="{00000000-0005-0000-0000-000000080000}"/>
    <cellStyle name="40% - Accent6 2 2" xfId="270" xr:uid="{00000000-0005-0000-0000-00000E010000}"/>
    <cellStyle name="40% - Accent6 2 3" xfId="455" xr:uid="{00000000-0005-0000-0000-0000C7010000}"/>
    <cellStyle name="40% - Accent6 2 4" xfId="570" xr:uid="{00000000-0005-0000-0000-00003A020000}"/>
    <cellStyle name="40% - Accent6 2 5" xfId="695" xr:uid="{00000000-0005-0000-0000-0000B7020000}"/>
    <cellStyle name="40% - Accent6 2 6" xfId="820" xr:uid="{00000000-0005-0000-0000-000034030000}"/>
    <cellStyle name="40% - Accent6 2 7" xfId="945" xr:uid="{00000000-0005-0000-0000-0000B1030000}"/>
    <cellStyle name="40% - Accent6 2 8" xfId="1075" xr:uid="{00000000-0005-0000-0000-000033040000}"/>
    <cellStyle name="40% - Accent6 2 9" xfId="1199" xr:uid="{00000000-0005-0000-0000-0000AF040000}"/>
    <cellStyle name="40% - ส่วนที่ถูกเน้น1" xfId="43" xr:uid="{00000000-0005-0000-0000-00002B000000}"/>
    <cellStyle name="40% - ส่วนที่ถูกเน้น1 10" xfId="1325" xr:uid="{00000000-0005-0000-0000-00002D050000}"/>
    <cellStyle name="40% - ส่วนที่ถูกเน้น1 11" xfId="1450" xr:uid="{00000000-0005-0000-0000-0000AA050000}"/>
    <cellStyle name="40% - ส่วนที่ถูกเน้น1 12" xfId="1575" xr:uid="{00000000-0005-0000-0000-000027060000}"/>
    <cellStyle name="40% - ส่วนที่ถูกเน้น1 13" xfId="1700" xr:uid="{00000000-0005-0000-0000-0000A4060000}"/>
    <cellStyle name="40% - ส่วนที่ถูกเน้น1 14" xfId="1816" xr:uid="{00000000-0005-0000-0000-000018070000}"/>
    <cellStyle name="40% - ส่วนที่ถูกเน้น1 15" xfId="1932" xr:uid="{00000000-0005-0000-0000-00008C070000}"/>
    <cellStyle name="40% - ส่วนที่ถูกเน้น1 16" xfId="2049" xr:uid="{00000000-0005-0000-0000-000001080000}"/>
    <cellStyle name="40% - ส่วนที่ถูกเน้น1 2" xfId="271" xr:uid="{00000000-0005-0000-0000-00000F010000}"/>
    <cellStyle name="40% - ส่วนที่ถูกเน้น1 3" xfId="456" xr:uid="{00000000-0005-0000-0000-0000C8010000}"/>
    <cellStyle name="40% - ส่วนที่ถูกเน้น1 4" xfId="571" xr:uid="{00000000-0005-0000-0000-00003B020000}"/>
    <cellStyle name="40% - ส่วนที่ถูกเน้น1 5" xfId="696" xr:uid="{00000000-0005-0000-0000-0000B8020000}"/>
    <cellStyle name="40% - ส่วนที่ถูกเน้น1 6" xfId="821" xr:uid="{00000000-0005-0000-0000-000035030000}"/>
    <cellStyle name="40% - ส่วนที่ถูกเน้น1 7" xfId="946" xr:uid="{00000000-0005-0000-0000-0000B2030000}"/>
    <cellStyle name="40% - ส่วนที่ถูกเน้น1 8" xfId="1076" xr:uid="{00000000-0005-0000-0000-000034040000}"/>
    <cellStyle name="40% - ส่วนที่ถูกเน้น1 9" xfId="1200" xr:uid="{00000000-0005-0000-0000-0000B0040000}"/>
    <cellStyle name="40% - ส่วนที่ถูกเน้น2" xfId="44" xr:uid="{00000000-0005-0000-0000-00002C000000}"/>
    <cellStyle name="40% - ส่วนที่ถูกเน้น2 10" xfId="1326" xr:uid="{00000000-0005-0000-0000-00002E050000}"/>
    <cellStyle name="40% - ส่วนที่ถูกเน้น2 11" xfId="1451" xr:uid="{00000000-0005-0000-0000-0000AB050000}"/>
    <cellStyle name="40% - ส่วนที่ถูกเน้น2 12" xfId="1576" xr:uid="{00000000-0005-0000-0000-000028060000}"/>
    <cellStyle name="40% - ส่วนที่ถูกเน้น2 13" xfId="1701" xr:uid="{00000000-0005-0000-0000-0000A5060000}"/>
    <cellStyle name="40% - ส่วนที่ถูกเน้น2 14" xfId="1817" xr:uid="{00000000-0005-0000-0000-000019070000}"/>
    <cellStyle name="40% - ส่วนที่ถูกเน้น2 15" xfId="1933" xr:uid="{00000000-0005-0000-0000-00008D070000}"/>
    <cellStyle name="40% - ส่วนที่ถูกเน้น2 16" xfId="2050" xr:uid="{00000000-0005-0000-0000-000002080000}"/>
    <cellStyle name="40% - ส่วนที่ถูกเน้น2 2" xfId="272" xr:uid="{00000000-0005-0000-0000-000010010000}"/>
    <cellStyle name="40% - ส่วนที่ถูกเน้น2 3" xfId="457" xr:uid="{00000000-0005-0000-0000-0000C9010000}"/>
    <cellStyle name="40% - ส่วนที่ถูกเน้น2 4" xfId="572" xr:uid="{00000000-0005-0000-0000-00003C020000}"/>
    <cellStyle name="40% - ส่วนที่ถูกเน้น2 5" xfId="697" xr:uid="{00000000-0005-0000-0000-0000B9020000}"/>
    <cellStyle name="40% - ส่วนที่ถูกเน้น2 6" xfId="822" xr:uid="{00000000-0005-0000-0000-000036030000}"/>
    <cellStyle name="40% - ส่วนที่ถูกเน้น2 7" xfId="947" xr:uid="{00000000-0005-0000-0000-0000B3030000}"/>
    <cellStyle name="40% - ส่วนที่ถูกเน้น2 8" xfId="1077" xr:uid="{00000000-0005-0000-0000-000035040000}"/>
    <cellStyle name="40% - ส่วนที่ถูกเน้น2 9" xfId="1201" xr:uid="{00000000-0005-0000-0000-0000B1040000}"/>
    <cellStyle name="40% - ส่วนที่ถูกเน้น3" xfId="45" xr:uid="{00000000-0005-0000-0000-00002D000000}"/>
    <cellStyle name="40% - ส่วนที่ถูกเน้น3 10" xfId="1327" xr:uid="{00000000-0005-0000-0000-00002F050000}"/>
    <cellStyle name="40% - ส่วนที่ถูกเน้น3 11" xfId="1452" xr:uid="{00000000-0005-0000-0000-0000AC050000}"/>
    <cellStyle name="40% - ส่วนที่ถูกเน้น3 12" xfId="1577" xr:uid="{00000000-0005-0000-0000-000029060000}"/>
    <cellStyle name="40% - ส่วนที่ถูกเน้น3 13" xfId="1702" xr:uid="{00000000-0005-0000-0000-0000A6060000}"/>
    <cellStyle name="40% - ส่วนที่ถูกเน้น3 14" xfId="1818" xr:uid="{00000000-0005-0000-0000-00001A070000}"/>
    <cellStyle name="40% - ส่วนที่ถูกเน้น3 15" xfId="1934" xr:uid="{00000000-0005-0000-0000-00008E070000}"/>
    <cellStyle name="40% - ส่วนที่ถูกเน้น3 16" xfId="2051" xr:uid="{00000000-0005-0000-0000-000003080000}"/>
    <cellStyle name="40% - ส่วนที่ถูกเน้น3 2" xfId="273" xr:uid="{00000000-0005-0000-0000-000011010000}"/>
    <cellStyle name="40% - ส่วนที่ถูกเน้น3 3" xfId="458" xr:uid="{00000000-0005-0000-0000-0000CA010000}"/>
    <cellStyle name="40% - ส่วนที่ถูกเน้น3 4" xfId="573" xr:uid="{00000000-0005-0000-0000-00003D020000}"/>
    <cellStyle name="40% - ส่วนที่ถูกเน้น3 5" xfId="698" xr:uid="{00000000-0005-0000-0000-0000BA020000}"/>
    <cellStyle name="40% - ส่วนที่ถูกเน้น3 6" xfId="823" xr:uid="{00000000-0005-0000-0000-000037030000}"/>
    <cellStyle name="40% - ส่วนที่ถูกเน้น3 7" xfId="948" xr:uid="{00000000-0005-0000-0000-0000B4030000}"/>
    <cellStyle name="40% - ส่วนที่ถูกเน้น3 8" xfId="1078" xr:uid="{00000000-0005-0000-0000-000036040000}"/>
    <cellStyle name="40% - ส่วนที่ถูกเน้น3 9" xfId="1202" xr:uid="{00000000-0005-0000-0000-0000B2040000}"/>
    <cellStyle name="40% - ส่วนที่ถูกเน้น4" xfId="46" xr:uid="{00000000-0005-0000-0000-00002E000000}"/>
    <cellStyle name="40% - ส่วนที่ถูกเน้น4 10" xfId="1328" xr:uid="{00000000-0005-0000-0000-000030050000}"/>
    <cellStyle name="40% - ส่วนที่ถูกเน้น4 11" xfId="1453" xr:uid="{00000000-0005-0000-0000-0000AD050000}"/>
    <cellStyle name="40% - ส่วนที่ถูกเน้น4 12" xfId="1578" xr:uid="{00000000-0005-0000-0000-00002A060000}"/>
    <cellStyle name="40% - ส่วนที่ถูกเน้น4 13" xfId="1703" xr:uid="{00000000-0005-0000-0000-0000A7060000}"/>
    <cellStyle name="40% - ส่วนที่ถูกเน้น4 14" xfId="1819" xr:uid="{00000000-0005-0000-0000-00001B070000}"/>
    <cellStyle name="40% - ส่วนที่ถูกเน้น4 15" xfId="1935" xr:uid="{00000000-0005-0000-0000-00008F070000}"/>
    <cellStyle name="40% - ส่วนที่ถูกเน้น4 16" xfId="2052" xr:uid="{00000000-0005-0000-0000-000004080000}"/>
    <cellStyle name="40% - ส่วนที่ถูกเน้น4 2" xfId="274" xr:uid="{00000000-0005-0000-0000-000012010000}"/>
    <cellStyle name="40% - ส่วนที่ถูกเน้น4 3" xfId="459" xr:uid="{00000000-0005-0000-0000-0000CB010000}"/>
    <cellStyle name="40% - ส่วนที่ถูกเน้น4 4" xfId="574" xr:uid="{00000000-0005-0000-0000-00003E020000}"/>
    <cellStyle name="40% - ส่วนที่ถูกเน้น4 5" xfId="699" xr:uid="{00000000-0005-0000-0000-0000BB020000}"/>
    <cellStyle name="40% - ส่วนที่ถูกเน้น4 6" xfId="824" xr:uid="{00000000-0005-0000-0000-000038030000}"/>
    <cellStyle name="40% - ส่วนที่ถูกเน้น4 7" xfId="949" xr:uid="{00000000-0005-0000-0000-0000B5030000}"/>
    <cellStyle name="40% - ส่วนที่ถูกเน้น4 8" xfId="1079" xr:uid="{00000000-0005-0000-0000-000037040000}"/>
    <cellStyle name="40% - ส่วนที่ถูกเน้น4 9" xfId="1203" xr:uid="{00000000-0005-0000-0000-0000B3040000}"/>
    <cellStyle name="40% - ส่วนที่ถูกเน้น5" xfId="47" xr:uid="{00000000-0005-0000-0000-00002F000000}"/>
    <cellStyle name="40% - ส่วนที่ถูกเน้น5 10" xfId="1329" xr:uid="{00000000-0005-0000-0000-000031050000}"/>
    <cellStyle name="40% - ส่วนที่ถูกเน้น5 11" xfId="1454" xr:uid="{00000000-0005-0000-0000-0000AE050000}"/>
    <cellStyle name="40% - ส่วนที่ถูกเน้น5 12" xfId="1579" xr:uid="{00000000-0005-0000-0000-00002B060000}"/>
    <cellStyle name="40% - ส่วนที่ถูกเน้น5 13" xfId="1704" xr:uid="{00000000-0005-0000-0000-0000A8060000}"/>
    <cellStyle name="40% - ส่วนที่ถูกเน้น5 14" xfId="1820" xr:uid="{00000000-0005-0000-0000-00001C070000}"/>
    <cellStyle name="40% - ส่วนที่ถูกเน้น5 15" xfId="1936" xr:uid="{00000000-0005-0000-0000-000090070000}"/>
    <cellStyle name="40% - ส่วนที่ถูกเน้น5 16" xfId="2053" xr:uid="{00000000-0005-0000-0000-000005080000}"/>
    <cellStyle name="40% - ส่วนที่ถูกเน้น5 2" xfId="275" xr:uid="{00000000-0005-0000-0000-000013010000}"/>
    <cellStyle name="40% - ส่วนที่ถูกเน้น5 3" xfId="460" xr:uid="{00000000-0005-0000-0000-0000CC010000}"/>
    <cellStyle name="40% - ส่วนที่ถูกเน้น5 4" xfId="575" xr:uid="{00000000-0005-0000-0000-00003F020000}"/>
    <cellStyle name="40% - ส่วนที่ถูกเน้น5 5" xfId="700" xr:uid="{00000000-0005-0000-0000-0000BC020000}"/>
    <cellStyle name="40% - ส่วนที่ถูกเน้น5 6" xfId="825" xr:uid="{00000000-0005-0000-0000-000039030000}"/>
    <cellStyle name="40% - ส่วนที่ถูกเน้น5 7" xfId="950" xr:uid="{00000000-0005-0000-0000-0000B6030000}"/>
    <cellStyle name="40% - ส่วนที่ถูกเน้น5 8" xfId="1080" xr:uid="{00000000-0005-0000-0000-000038040000}"/>
    <cellStyle name="40% - ส่วนที่ถูกเน้น5 9" xfId="1204" xr:uid="{00000000-0005-0000-0000-0000B4040000}"/>
    <cellStyle name="40% - ส่วนที่ถูกเน้น6" xfId="48" xr:uid="{00000000-0005-0000-0000-000030000000}"/>
    <cellStyle name="40% - ส่วนที่ถูกเน้น6 10" xfId="1330" xr:uid="{00000000-0005-0000-0000-000032050000}"/>
    <cellStyle name="40% - ส่วนที่ถูกเน้น6 11" xfId="1455" xr:uid="{00000000-0005-0000-0000-0000AF050000}"/>
    <cellStyle name="40% - ส่วนที่ถูกเน้น6 12" xfId="1580" xr:uid="{00000000-0005-0000-0000-00002C060000}"/>
    <cellStyle name="40% - ส่วนที่ถูกเน้น6 13" xfId="1705" xr:uid="{00000000-0005-0000-0000-0000A9060000}"/>
    <cellStyle name="40% - ส่วนที่ถูกเน้น6 14" xfId="1821" xr:uid="{00000000-0005-0000-0000-00001D070000}"/>
    <cellStyle name="40% - ส่วนที่ถูกเน้น6 15" xfId="1937" xr:uid="{00000000-0005-0000-0000-000091070000}"/>
    <cellStyle name="40% - ส่วนที่ถูกเน้น6 16" xfId="2054" xr:uid="{00000000-0005-0000-0000-000006080000}"/>
    <cellStyle name="40% - ส่วนที่ถูกเน้น6 2" xfId="276" xr:uid="{00000000-0005-0000-0000-000014010000}"/>
    <cellStyle name="40% - ส่วนที่ถูกเน้น6 3" xfId="461" xr:uid="{00000000-0005-0000-0000-0000CD010000}"/>
    <cellStyle name="40% - ส่วนที่ถูกเน้น6 4" xfId="576" xr:uid="{00000000-0005-0000-0000-000040020000}"/>
    <cellStyle name="40% - ส่วนที่ถูกเน้น6 5" xfId="701" xr:uid="{00000000-0005-0000-0000-0000BD020000}"/>
    <cellStyle name="40% - ส่วนที่ถูกเน้น6 6" xfId="826" xr:uid="{00000000-0005-0000-0000-00003A030000}"/>
    <cellStyle name="40% - ส่วนที่ถูกเน้น6 7" xfId="951" xr:uid="{00000000-0005-0000-0000-0000B7030000}"/>
    <cellStyle name="40% - ส่วนที่ถูกเน้น6 8" xfId="1081" xr:uid="{00000000-0005-0000-0000-000039040000}"/>
    <cellStyle name="40% - ส่วนที่ถูกเน้น6 9" xfId="1205" xr:uid="{00000000-0005-0000-0000-0000B5040000}"/>
    <cellStyle name="60% - Accent1 2" xfId="49" xr:uid="{00000000-0005-0000-0000-000031000000}"/>
    <cellStyle name="60% - Accent1 2 10" xfId="1331" xr:uid="{00000000-0005-0000-0000-000033050000}"/>
    <cellStyle name="60% - Accent1 2 11" xfId="1456" xr:uid="{00000000-0005-0000-0000-0000B0050000}"/>
    <cellStyle name="60% - Accent1 2 12" xfId="1581" xr:uid="{00000000-0005-0000-0000-00002D060000}"/>
    <cellStyle name="60% - Accent1 2 13" xfId="1706" xr:uid="{00000000-0005-0000-0000-0000AA060000}"/>
    <cellStyle name="60% - Accent1 2 14" xfId="1822" xr:uid="{00000000-0005-0000-0000-00001E070000}"/>
    <cellStyle name="60% - Accent1 2 15" xfId="1938" xr:uid="{00000000-0005-0000-0000-000092070000}"/>
    <cellStyle name="60% - Accent1 2 16" xfId="2055" xr:uid="{00000000-0005-0000-0000-000007080000}"/>
    <cellStyle name="60% - Accent1 2 2" xfId="277" xr:uid="{00000000-0005-0000-0000-000015010000}"/>
    <cellStyle name="60% - Accent1 2 3" xfId="462" xr:uid="{00000000-0005-0000-0000-0000CE010000}"/>
    <cellStyle name="60% - Accent1 2 4" xfId="577" xr:uid="{00000000-0005-0000-0000-000041020000}"/>
    <cellStyle name="60% - Accent1 2 5" xfId="702" xr:uid="{00000000-0005-0000-0000-0000BE020000}"/>
    <cellStyle name="60% - Accent1 2 6" xfId="827" xr:uid="{00000000-0005-0000-0000-00003B030000}"/>
    <cellStyle name="60% - Accent1 2 7" xfId="952" xr:uid="{00000000-0005-0000-0000-0000B8030000}"/>
    <cellStyle name="60% - Accent1 2 8" xfId="1082" xr:uid="{00000000-0005-0000-0000-00003A040000}"/>
    <cellStyle name="60% - Accent1 2 9" xfId="1206" xr:uid="{00000000-0005-0000-0000-0000B6040000}"/>
    <cellStyle name="60% - Accent2 2" xfId="50" xr:uid="{00000000-0005-0000-0000-000032000000}"/>
    <cellStyle name="60% - Accent2 2 10" xfId="1332" xr:uid="{00000000-0005-0000-0000-000034050000}"/>
    <cellStyle name="60% - Accent2 2 11" xfId="1457" xr:uid="{00000000-0005-0000-0000-0000B1050000}"/>
    <cellStyle name="60% - Accent2 2 12" xfId="1582" xr:uid="{00000000-0005-0000-0000-00002E060000}"/>
    <cellStyle name="60% - Accent2 2 13" xfId="1707" xr:uid="{00000000-0005-0000-0000-0000AB060000}"/>
    <cellStyle name="60% - Accent2 2 14" xfId="1823" xr:uid="{00000000-0005-0000-0000-00001F070000}"/>
    <cellStyle name="60% - Accent2 2 15" xfId="1939" xr:uid="{00000000-0005-0000-0000-000093070000}"/>
    <cellStyle name="60% - Accent2 2 16" xfId="2056" xr:uid="{00000000-0005-0000-0000-000008080000}"/>
    <cellStyle name="60% - Accent2 2 2" xfId="278" xr:uid="{00000000-0005-0000-0000-000016010000}"/>
    <cellStyle name="60% - Accent2 2 3" xfId="463" xr:uid="{00000000-0005-0000-0000-0000CF010000}"/>
    <cellStyle name="60% - Accent2 2 4" xfId="578" xr:uid="{00000000-0005-0000-0000-000042020000}"/>
    <cellStyle name="60% - Accent2 2 5" xfId="703" xr:uid="{00000000-0005-0000-0000-0000BF020000}"/>
    <cellStyle name="60% - Accent2 2 6" xfId="828" xr:uid="{00000000-0005-0000-0000-00003C030000}"/>
    <cellStyle name="60% - Accent2 2 7" xfId="953" xr:uid="{00000000-0005-0000-0000-0000B9030000}"/>
    <cellStyle name="60% - Accent2 2 8" xfId="1083" xr:uid="{00000000-0005-0000-0000-00003B040000}"/>
    <cellStyle name="60% - Accent2 2 9" xfId="1207" xr:uid="{00000000-0005-0000-0000-0000B7040000}"/>
    <cellStyle name="60% - Accent3 2" xfId="51" xr:uid="{00000000-0005-0000-0000-000033000000}"/>
    <cellStyle name="60% - Accent3 2 10" xfId="1333" xr:uid="{00000000-0005-0000-0000-000035050000}"/>
    <cellStyle name="60% - Accent3 2 11" xfId="1458" xr:uid="{00000000-0005-0000-0000-0000B2050000}"/>
    <cellStyle name="60% - Accent3 2 12" xfId="1583" xr:uid="{00000000-0005-0000-0000-00002F060000}"/>
    <cellStyle name="60% - Accent3 2 13" xfId="1708" xr:uid="{00000000-0005-0000-0000-0000AC060000}"/>
    <cellStyle name="60% - Accent3 2 14" xfId="1824" xr:uid="{00000000-0005-0000-0000-000020070000}"/>
    <cellStyle name="60% - Accent3 2 15" xfId="1940" xr:uid="{00000000-0005-0000-0000-000094070000}"/>
    <cellStyle name="60% - Accent3 2 16" xfId="2057" xr:uid="{00000000-0005-0000-0000-000009080000}"/>
    <cellStyle name="60% - Accent3 2 2" xfId="279" xr:uid="{00000000-0005-0000-0000-000017010000}"/>
    <cellStyle name="60% - Accent3 2 3" xfId="464" xr:uid="{00000000-0005-0000-0000-0000D0010000}"/>
    <cellStyle name="60% - Accent3 2 4" xfId="579" xr:uid="{00000000-0005-0000-0000-000043020000}"/>
    <cellStyle name="60% - Accent3 2 5" xfId="704" xr:uid="{00000000-0005-0000-0000-0000C0020000}"/>
    <cellStyle name="60% - Accent3 2 6" xfId="829" xr:uid="{00000000-0005-0000-0000-00003D030000}"/>
    <cellStyle name="60% - Accent3 2 7" xfId="954" xr:uid="{00000000-0005-0000-0000-0000BA030000}"/>
    <cellStyle name="60% - Accent3 2 8" xfId="1084" xr:uid="{00000000-0005-0000-0000-00003C040000}"/>
    <cellStyle name="60% - Accent3 2 9" xfId="1208" xr:uid="{00000000-0005-0000-0000-0000B8040000}"/>
    <cellStyle name="60% - Accent4 2" xfId="52" xr:uid="{00000000-0005-0000-0000-000034000000}"/>
    <cellStyle name="60% - Accent4 2 10" xfId="1334" xr:uid="{00000000-0005-0000-0000-000036050000}"/>
    <cellStyle name="60% - Accent4 2 11" xfId="1459" xr:uid="{00000000-0005-0000-0000-0000B3050000}"/>
    <cellStyle name="60% - Accent4 2 12" xfId="1584" xr:uid="{00000000-0005-0000-0000-000030060000}"/>
    <cellStyle name="60% - Accent4 2 13" xfId="1709" xr:uid="{00000000-0005-0000-0000-0000AD060000}"/>
    <cellStyle name="60% - Accent4 2 14" xfId="1825" xr:uid="{00000000-0005-0000-0000-000021070000}"/>
    <cellStyle name="60% - Accent4 2 15" xfId="1941" xr:uid="{00000000-0005-0000-0000-000095070000}"/>
    <cellStyle name="60% - Accent4 2 16" xfId="2058" xr:uid="{00000000-0005-0000-0000-00000A080000}"/>
    <cellStyle name="60% - Accent4 2 2" xfId="280" xr:uid="{00000000-0005-0000-0000-000018010000}"/>
    <cellStyle name="60% - Accent4 2 3" xfId="465" xr:uid="{00000000-0005-0000-0000-0000D1010000}"/>
    <cellStyle name="60% - Accent4 2 4" xfId="580" xr:uid="{00000000-0005-0000-0000-000044020000}"/>
    <cellStyle name="60% - Accent4 2 5" xfId="705" xr:uid="{00000000-0005-0000-0000-0000C1020000}"/>
    <cellStyle name="60% - Accent4 2 6" xfId="830" xr:uid="{00000000-0005-0000-0000-00003E030000}"/>
    <cellStyle name="60% - Accent4 2 7" xfId="955" xr:uid="{00000000-0005-0000-0000-0000BB030000}"/>
    <cellStyle name="60% - Accent4 2 8" xfId="1085" xr:uid="{00000000-0005-0000-0000-00003D040000}"/>
    <cellStyle name="60% - Accent4 2 9" xfId="1209" xr:uid="{00000000-0005-0000-0000-0000B9040000}"/>
    <cellStyle name="60% - Accent5 2" xfId="53" xr:uid="{00000000-0005-0000-0000-000035000000}"/>
    <cellStyle name="60% - Accent5 2 10" xfId="1335" xr:uid="{00000000-0005-0000-0000-000037050000}"/>
    <cellStyle name="60% - Accent5 2 11" xfId="1460" xr:uid="{00000000-0005-0000-0000-0000B4050000}"/>
    <cellStyle name="60% - Accent5 2 12" xfId="1585" xr:uid="{00000000-0005-0000-0000-000031060000}"/>
    <cellStyle name="60% - Accent5 2 13" xfId="1710" xr:uid="{00000000-0005-0000-0000-0000AE060000}"/>
    <cellStyle name="60% - Accent5 2 14" xfId="1826" xr:uid="{00000000-0005-0000-0000-000022070000}"/>
    <cellStyle name="60% - Accent5 2 15" xfId="1942" xr:uid="{00000000-0005-0000-0000-000096070000}"/>
    <cellStyle name="60% - Accent5 2 16" xfId="2059" xr:uid="{00000000-0005-0000-0000-00000B080000}"/>
    <cellStyle name="60% - Accent5 2 2" xfId="281" xr:uid="{00000000-0005-0000-0000-000019010000}"/>
    <cellStyle name="60% - Accent5 2 3" xfId="466" xr:uid="{00000000-0005-0000-0000-0000D2010000}"/>
    <cellStyle name="60% - Accent5 2 4" xfId="581" xr:uid="{00000000-0005-0000-0000-000045020000}"/>
    <cellStyle name="60% - Accent5 2 5" xfId="706" xr:uid="{00000000-0005-0000-0000-0000C2020000}"/>
    <cellStyle name="60% - Accent5 2 6" xfId="831" xr:uid="{00000000-0005-0000-0000-00003F030000}"/>
    <cellStyle name="60% - Accent5 2 7" xfId="956" xr:uid="{00000000-0005-0000-0000-0000BC030000}"/>
    <cellStyle name="60% - Accent5 2 8" xfId="1086" xr:uid="{00000000-0005-0000-0000-00003E040000}"/>
    <cellStyle name="60% - Accent5 2 9" xfId="1210" xr:uid="{00000000-0005-0000-0000-0000BA040000}"/>
    <cellStyle name="60% - Accent6 2" xfId="54" xr:uid="{00000000-0005-0000-0000-000036000000}"/>
    <cellStyle name="60% - Accent6 2 10" xfId="1336" xr:uid="{00000000-0005-0000-0000-000038050000}"/>
    <cellStyle name="60% - Accent6 2 11" xfId="1461" xr:uid="{00000000-0005-0000-0000-0000B5050000}"/>
    <cellStyle name="60% - Accent6 2 12" xfId="1586" xr:uid="{00000000-0005-0000-0000-000032060000}"/>
    <cellStyle name="60% - Accent6 2 13" xfId="1711" xr:uid="{00000000-0005-0000-0000-0000AF060000}"/>
    <cellStyle name="60% - Accent6 2 14" xfId="1827" xr:uid="{00000000-0005-0000-0000-000023070000}"/>
    <cellStyle name="60% - Accent6 2 15" xfId="1943" xr:uid="{00000000-0005-0000-0000-000097070000}"/>
    <cellStyle name="60% - Accent6 2 16" xfId="2060" xr:uid="{00000000-0005-0000-0000-00000C080000}"/>
    <cellStyle name="60% - Accent6 2 2" xfId="282" xr:uid="{00000000-0005-0000-0000-00001A010000}"/>
    <cellStyle name="60% - Accent6 2 3" xfId="467" xr:uid="{00000000-0005-0000-0000-0000D3010000}"/>
    <cellStyle name="60% - Accent6 2 4" xfId="582" xr:uid="{00000000-0005-0000-0000-000046020000}"/>
    <cellStyle name="60% - Accent6 2 5" xfId="707" xr:uid="{00000000-0005-0000-0000-0000C3020000}"/>
    <cellStyle name="60% - Accent6 2 6" xfId="832" xr:uid="{00000000-0005-0000-0000-000040030000}"/>
    <cellStyle name="60% - Accent6 2 7" xfId="957" xr:uid="{00000000-0005-0000-0000-0000BD030000}"/>
    <cellStyle name="60% - Accent6 2 8" xfId="1087" xr:uid="{00000000-0005-0000-0000-00003F040000}"/>
    <cellStyle name="60% - Accent6 2 9" xfId="1211" xr:uid="{00000000-0005-0000-0000-0000BB040000}"/>
    <cellStyle name="60% - ส่วนที่ถูกเน้น1" xfId="55" xr:uid="{00000000-0005-0000-0000-000037000000}"/>
    <cellStyle name="60% - ส่วนที่ถูกเน้น1 10" xfId="1337" xr:uid="{00000000-0005-0000-0000-000039050000}"/>
    <cellStyle name="60% - ส่วนที่ถูกเน้น1 11" xfId="1462" xr:uid="{00000000-0005-0000-0000-0000B6050000}"/>
    <cellStyle name="60% - ส่วนที่ถูกเน้น1 12" xfId="1587" xr:uid="{00000000-0005-0000-0000-000033060000}"/>
    <cellStyle name="60% - ส่วนที่ถูกเน้น1 13" xfId="1712" xr:uid="{00000000-0005-0000-0000-0000B0060000}"/>
    <cellStyle name="60% - ส่วนที่ถูกเน้น1 14" xfId="1828" xr:uid="{00000000-0005-0000-0000-000024070000}"/>
    <cellStyle name="60% - ส่วนที่ถูกเน้น1 15" xfId="1944" xr:uid="{00000000-0005-0000-0000-000098070000}"/>
    <cellStyle name="60% - ส่วนที่ถูกเน้น1 16" xfId="2061" xr:uid="{00000000-0005-0000-0000-00000D080000}"/>
    <cellStyle name="60% - ส่วนที่ถูกเน้น1 2" xfId="283" xr:uid="{00000000-0005-0000-0000-00001B010000}"/>
    <cellStyle name="60% - ส่วนที่ถูกเน้น1 3" xfId="468" xr:uid="{00000000-0005-0000-0000-0000D4010000}"/>
    <cellStyle name="60% - ส่วนที่ถูกเน้น1 4" xfId="583" xr:uid="{00000000-0005-0000-0000-000047020000}"/>
    <cellStyle name="60% - ส่วนที่ถูกเน้น1 5" xfId="708" xr:uid="{00000000-0005-0000-0000-0000C4020000}"/>
    <cellStyle name="60% - ส่วนที่ถูกเน้น1 6" xfId="833" xr:uid="{00000000-0005-0000-0000-000041030000}"/>
    <cellStyle name="60% - ส่วนที่ถูกเน้น1 7" xfId="958" xr:uid="{00000000-0005-0000-0000-0000BE030000}"/>
    <cellStyle name="60% - ส่วนที่ถูกเน้น1 8" xfId="1088" xr:uid="{00000000-0005-0000-0000-000040040000}"/>
    <cellStyle name="60% - ส่วนที่ถูกเน้น1 9" xfId="1212" xr:uid="{00000000-0005-0000-0000-0000BC040000}"/>
    <cellStyle name="60% - ส่วนที่ถูกเน้น2" xfId="56" xr:uid="{00000000-0005-0000-0000-000038000000}"/>
    <cellStyle name="60% - ส่วนที่ถูกเน้น2 10" xfId="1338" xr:uid="{00000000-0005-0000-0000-00003A050000}"/>
    <cellStyle name="60% - ส่วนที่ถูกเน้น2 11" xfId="1463" xr:uid="{00000000-0005-0000-0000-0000B7050000}"/>
    <cellStyle name="60% - ส่วนที่ถูกเน้น2 12" xfId="1588" xr:uid="{00000000-0005-0000-0000-000034060000}"/>
    <cellStyle name="60% - ส่วนที่ถูกเน้น2 13" xfId="1713" xr:uid="{00000000-0005-0000-0000-0000B1060000}"/>
    <cellStyle name="60% - ส่วนที่ถูกเน้น2 14" xfId="1829" xr:uid="{00000000-0005-0000-0000-000025070000}"/>
    <cellStyle name="60% - ส่วนที่ถูกเน้น2 15" xfId="1945" xr:uid="{00000000-0005-0000-0000-000099070000}"/>
    <cellStyle name="60% - ส่วนที่ถูกเน้น2 16" xfId="2062" xr:uid="{00000000-0005-0000-0000-00000E080000}"/>
    <cellStyle name="60% - ส่วนที่ถูกเน้น2 2" xfId="284" xr:uid="{00000000-0005-0000-0000-00001C010000}"/>
    <cellStyle name="60% - ส่วนที่ถูกเน้น2 3" xfId="469" xr:uid="{00000000-0005-0000-0000-0000D5010000}"/>
    <cellStyle name="60% - ส่วนที่ถูกเน้น2 4" xfId="584" xr:uid="{00000000-0005-0000-0000-000048020000}"/>
    <cellStyle name="60% - ส่วนที่ถูกเน้น2 5" xfId="709" xr:uid="{00000000-0005-0000-0000-0000C5020000}"/>
    <cellStyle name="60% - ส่วนที่ถูกเน้น2 6" xfId="834" xr:uid="{00000000-0005-0000-0000-000042030000}"/>
    <cellStyle name="60% - ส่วนที่ถูกเน้น2 7" xfId="959" xr:uid="{00000000-0005-0000-0000-0000BF030000}"/>
    <cellStyle name="60% - ส่วนที่ถูกเน้น2 8" xfId="1089" xr:uid="{00000000-0005-0000-0000-000041040000}"/>
    <cellStyle name="60% - ส่วนที่ถูกเน้น2 9" xfId="1213" xr:uid="{00000000-0005-0000-0000-0000BD040000}"/>
    <cellStyle name="60% - ส่วนที่ถูกเน้น3" xfId="57" xr:uid="{00000000-0005-0000-0000-000039000000}"/>
    <cellStyle name="60% - ส่วนที่ถูกเน้น3 10" xfId="1339" xr:uid="{00000000-0005-0000-0000-00003B050000}"/>
    <cellStyle name="60% - ส่วนที่ถูกเน้น3 11" xfId="1464" xr:uid="{00000000-0005-0000-0000-0000B8050000}"/>
    <cellStyle name="60% - ส่วนที่ถูกเน้น3 12" xfId="1589" xr:uid="{00000000-0005-0000-0000-000035060000}"/>
    <cellStyle name="60% - ส่วนที่ถูกเน้น3 13" xfId="1714" xr:uid="{00000000-0005-0000-0000-0000B2060000}"/>
    <cellStyle name="60% - ส่วนที่ถูกเน้น3 14" xfId="1830" xr:uid="{00000000-0005-0000-0000-000026070000}"/>
    <cellStyle name="60% - ส่วนที่ถูกเน้น3 15" xfId="1946" xr:uid="{00000000-0005-0000-0000-00009A070000}"/>
    <cellStyle name="60% - ส่วนที่ถูกเน้น3 16" xfId="2063" xr:uid="{00000000-0005-0000-0000-00000F080000}"/>
    <cellStyle name="60% - ส่วนที่ถูกเน้น3 2" xfId="285" xr:uid="{00000000-0005-0000-0000-00001D010000}"/>
    <cellStyle name="60% - ส่วนที่ถูกเน้น3 3" xfId="470" xr:uid="{00000000-0005-0000-0000-0000D6010000}"/>
    <cellStyle name="60% - ส่วนที่ถูกเน้น3 4" xfId="585" xr:uid="{00000000-0005-0000-0000-000049020000}"/>
    <cellStyle name="60% - ส่วนที่ถูกเน้น3 5" xfId="710" xr:uid="{00000000-0005-0000-0000-0000C6020000}"/>
    <cellStyle name="60% - ส่วนที่ถูกเน้น3 6" xfId="835" xr:uid="{00000000-0005-0000-0000-000043030000}"/>
    <cellStyle name="60% - ส่วนที่ถูกเน้น3 7" xfId="960" xr:uid="{00000000-0005-0000-0000-0000C0030000}"/>
    <cellStyle name="60% - ส่วนที่ถูกเน้น3 8" xfId="1090" xr:uid="{00000000-0005-0000-0000-000042040000}"/>
    <cellStyle name="60% - ส่วนที่ถูกเน้น3 9" xfId="1214" xr:uid="{00000000-0005-0000-0000-0000BE040000}"/>
    <cellStyle name="60% - ส่วนที่ถูกเน้น4" xfId="58" xr:uid="{00000000-0005-0000-0000-00003A000000}"/>
    <cellStyle name="60% - ส่วนที่ถูกเน้น4 10" xfId="1340" xr:uid="{00000000-0005-0000-0000-00003C050000}"/>
    <cellStyle name="60% - ส่วนที่ถูกเน้น4 11" xfId="1465" xr:uid="{00000000-0005-0000-0000-0000B9050000}"/>
    <cellStyle name="60% - ส่วนที่ถูกเน้น4 12" xfId="1590" xr:uid="{00000000-0005-0000-0000-000036060000}"/>
    <cellStyle name="60% - ส่วนที่ถูกเน้น4 13" xfId="1715" xr:uid="{00000000-0005-0000-0000-0000B3060000}"/>
    <cellStyle name="60% - ส่วนที่ถูกเน้น4 14" xfId="1831" xr:uid="{00000000-0005-0000-0000-000027070000}"/>
    <cellStyle name="60% - ส่วนที่ถูกเน้น4 15" xfId="1947" xr:uid="{00000000-0005-0000-0000-00009B070000}"/>
    <cellStyle name="60% - ส่วนที่ถูกเน้น4 16" xfId="2064" xr:uid="{00000000-0005-0000-0000-000010080000}"/>
    <cellStyle name="60% - ส่วนที่ถูกเน้น4 2" xfId="286" xr:uid="{00000000-0005-0000-0000-00001E010000}"/>
    <cellStyle name="60% - ส่วนที่ถูกเน้น4 3" xfId="471" xr:uid="{00000000-0005-0000-0000-0000D7010000}"/>
    <cellStyle name="60% - ส่วนที่ถูกเน้น4 4" xfId="586" xr:uid="{00000000-0005-0000-0000-00004A020000}"/>
    <cellStyle name="60% - ส่วนที่ถูกเน้น4 5" xfId="711" xr:uid="{00000000-0005-0000-0000-0000C7020000}"/>
    <cellStyle name="60% - ส่วนที่ถูกเน้น4 6" xfId="836" xr:uid="{00000000-0005-0000-0000-000044030000}"/>
    <cellStyle name="60% - ส่วนที่ถูกเน้น4 7" xfId="961" xr:uid="{00000000-0005-0000-0000-0000C1030000}"/>
    <cellStyle name="60% - ส่วนที่ถูกเน้น4 8" xfId="1091" xr:uid="{00000000-0005-0000-0000-000043040000}"/>
    <cellStyle name="60% - ส่วนที่ถูกเน้น4 9" xfId="1215" xr:uid="{00000000-0005-0000-0000-0000BF040000}"/>
    <cellStyle name="60% - ส่วนที่ถูกเน้น5" xfId="59" xr:uid="{00000000-0005-0000-0000-00003B000000}"/>
    <cellStyle name="60% - ส่วนที่ถูกเน้น5 10" xfId="1341" xr:uid="{00000000-0005-0000-0000-00003D050000}"/>
    <cellStyle name="60% - ส่วนที่ถูกเน้น5 11" xfId="1466" xr:uid="{00000000-0005-0000-0000-0000BA050000}"/>
    <cellStyle name="60% - ส่วนที่ถูกเน้น5 12" xfId="1591" xr:uid="{00000000-0005-0000-0000-000037060000}"/>
    <cellStyle name="60% - ส่วนที่ถูกเน้น5 13" xfId="1716" xr:uid="{00000000-0005-0000-0000-0000B4060000}"/>
    <cellStyle name="60% - ส่วนที่ถูกเน้น5 14" xfId="1832" xr:uid="{00000000-0005-0000-0000-000028070000}"/>
    <cellStyle name="60% - ส่วนที่ถูกเน้น5 15" xfId="1948" xr:uid="{00000000-0005-0000-0000-00009C070000}"/>
    <cellStyle name="60% - ส่วนที่ถูกเน้น5 16" xfId="2065" xr:uid="{00000000-0005-0000-0000-000011080000}"/>
    <cellStyle name="60% - ส่วนที่ถูกเน้น5 2" xfId="287" xr:uid="{00000000-0005-0000-0000-00001F010000}"/>
    <cellStyle name="60% - ส่วนที่ถูกเน้น5 3" xfId="472" xr:uid="{00000000-0005-0000-0000-0000D8010000}"/>
    <cellStyle name="60% - ส่วนที่ถูกเน้น5 4" xfId="587" xr:uid="{00000000-0005-0000-0000-00004B020000}"/>
    <cellStyle name="60% - ส่วนที่ถูกเน้น5 5" xfId="712" xr:uid="{00000000-0005-0000-0000-0000C8020000}"/>
    <cellStyle name="60% - ส่วนที่ถูกเน้น5 6" xfId="837" xr:uid="{00000000-0005-0000-0000-000045030000}"/>
    <cellStyle name="60% - ส่วนที่ถูกเน้น5 7" xfId="962" xr:uid="{00000000-0005-0000-0000-0000C2030000}"/>
    <cellStyle name="60% - ส่วนที่ถูกเน้น5 8" xfId="1092" xr:uid="{00000000-0005-0000-0000-000044040000}"/>
    <cellStyle name="60% - ส่วนที่ถูกเน้น5 9" xfId="1216" xr:uid="{00000000-0005-0000-0000-0000C0040000}"/>
    <cellStyle name="60% - ส่วนที่ถูกเน้น6" xfId="60" xr:uid="{00000000-0005-0000-0000-00003C000000}"/>
    <cellStyle name="60% - ส่วนที่ถูกเน้น6 10" xfId="1342" xr:uid="{00000000-0005-0000-0000-00003E050000}"/>
    <cellStyle name="60% - ส่วนที่ถูกเน้น6 11" xfId="1467" xr:uid="{00000000-0005-0000-0000-0000BB050000}"/>
    <cellStyle name="60% - ส่วนที่ถูกเน้น6 12" xfId="1592" xr:uid="{00000000-0005-0000-0000-000038060000}"/>
    <cellStyle name="60% - ส่วนที่ถูกเน้น6 13" xfId="1717" xr:uid="{00000000-0005-0000-0000-0000B5060000}"/>
    <cellStyle name="60% - ส่วนที่ถูกเน้น6 14" xfId="1833" xr:uid="{00000000-0005-0000-0000-000029070000}"/>
    <cellStyle name="60% - ส่วนที่ถูกเน้น6 15" xfId="1949" xr:uid="{00000000-0005-0000-0000-00009D070000}"/>
    <cellStyle name="60% - ส่วนที่ถูกเน้น6 16" xfId="2066" xr:uid="{00000000-0005-0000-0000-000012080000}"/>
    <cellStyle name="60% - ส่วนที่ถูกเน้น6 2" xfId="288" xr:uid="{00000000-0005-0000-0000-000020010000}"/>
    <cellStyle name="60% - ส่วนที่ถูกเน้น6 3" xfId="473" xr:uid="{00000000-0005-0000-0000-0000D9010000}"/>
    <cellStyle name="60% - ส่วนที่ถูกเน้น6 4" xfId="588" xr:uid="{00000000-0005-0000-0000-00004C020000}"/>
    <cellStyle name="60% - ส่วนที่ถูกเน้น6 5" xfId="713" xr:uid="{00000000-0005-0000-0000-0000C9020000}"/>
    <cellStyle name="60% - ส่วนที่ถูกเน้น6 6" xfId="838" xr:uid="{00000000-0005-0000-0000-000046030000}"/>
    <cellStyle name="60% - ส่วนที่ถูกเน้น6 7" xfId="963" xr:uid="{00000000-0005-0000-0000-0000C3030000}"/>
    <cellStyle name="60% - ส่วนที่ถูกเน้น6 8" xfId="1093" xr:uid="{00000000-0005-0000-0000-000045040000}"/>
    <cellStyle name="60% - ส่วนที่ถูกเน้น6 9" xfId="1217" xr:uid="{00000000-0005-0000-0000-0000C1040000}"/>
    <cellStyle name="Accent1 2" xfId="61" xr:uid="{00000000-0005-0000-0000-00003D000000}"/>
    <cellStyle name="Accent1 2 10" xfId="1343" xr:uid="{00000000-0005-0000-0000-00003F050000}"/>
    <cellStyle name="Accent1 2 11" xfId="1468" xr:uid="{00000000-0005-0000-0000-0000BC050000}"/>
    <cellStyle name="Accent1 2 12" xfId="1593" xr:uid="{00000000-0005-0000-0000-000039060000}"/>
    <cellStyle name="Accent1 2 13" xfId="1718" xr:uid="{00000000-0005-0000-0000-0000B6060000}"/>
    <cellStyle name="Accent1 2 14" xfId="1834" xr:uid="{00000000-0005-0000-0000-00002A070000}"/>
    <cellStyle name="Accent1 2 15" xfId="1950" xr:uid="{00000000-0005-0000-0000-00009E070000}"/>
    <cellStyle name="Accent1 2 16" xfId="2067" xr:uid="{00000000-0005-0000-0000-000013080000}"/>
    <cellStyle name="Accent1 2 2" xfId="289" xr:uid="{00000000-0005-0000-0000-000021010000}"/>
    <cellStyle name="Accent1 2 3" xfId="474" xr:uid="{00000000-0005-0000-0000-0000DA010000}"/>
    <cellStyle name="Accent1 2 4" xfId="589" xr:uid="{00000000-0005-0000-0000-00004D020000}"/>
    <cellStyle name="Accent1 2 5" xfId="714" xr:uid="{00000000-0005-0000-0000-0000CA020000}"/>
    <cellStyle name="Accent1 2 6" xfId="839" xr:uid="{00000000-0005-0000-0000-000047030000}"/>
    <cellStyle name="Accent1 2 7" xfId="964" xr:uid="{00000000-0005-0000-0000-0000C4030000}"/>
    <cellStyle name="Accent1 2 8" xfId="1094" xr:uid="{00000000-0005-0000-0000-000046040000}"/>
    <cellStyle name="Accent1 2 9" xfId="1218" xr:uid="{00000000-0005-0000-0000-0000C2040000}"/>
    <cellStyle name="Accent2 2" xfId="62" xr:uid="{00000000-0005-0000-0000-00003E000000}"/>
    <cellStyle name="Accent2 2 10" xfId="1344" xr:uid="{00000000-0005-0000-0000-000040050000}"/>
    <cellStyle name="Accent2 2 11" xfId="1469" xr:uid="{00000000-0005-0000-0000-0000BD050000}"/>
    <cellStyle name="Accent2 2 12" xfId="1594" xr:uid="{00000000-0005-0000-0000-00003A060000}"/>
    <cellStyle name="Accent2 2 13" xfId="1719" xr:uid="{00000000-0005-0000-0000-0000B7060000}"/>
    <cellStyle name="Accent2 2 14" xfId="1835" xr:uid="{00000000-0005-0000-0000-00002B070000}"/>
    <cellStyle name="Accent2 2 15" xfId="1951" xr:uid="{00000000-0005-0000-0000-00009F070000}"/>
    <cellStyle name="Accent2 2 16" xfId="2068" xr:uid="{00000000-0005-0000-0000-000014080000}"/>
    <cellStyle name="Accent2 2 2" xfId="290" xr:uid="{00000000-0005-0000-0000-000022010000}"/>
    <cellStyle name="Accent2 2 3" xfId="475" xr:uid="{00000000-0005-0000-0000-0000DB010000}"/>
    <cellStyle name="Accent2 2 4" xfId="590" xr:uid="{00000000-0005-0000-0000-00004E020000}"/>
    <cellStyle name="Accent2 2 5" xfId="715" xr:uid="{00000000-0005-0000-0000-0000CB020000}"/>
    <cellStyle name="Accent2 2 6" xfId="840" xr:uid="{00000000-0005-0000-0000-000048030000}"/>
    <cellStyle name="Accent2 2 7" xfId="965" xr:uid="{00000000-0005-0000-0000-0000C5030000}"/>
    <cellStyle name="Accent2 2 8" xfId="1095" xr:uid="{00000000-0005-0000-0000-000047040000}"/>
    <cellStyle name="Accent2 2 9" xfId="1219" xr:uid="{00000000-0005-0000-0000-0000C3040000}"/>
    <cellStyle name="Accent3 2" xfId="63" xr:uid="{00000000-0005-0000-0000-00003F000000}"/>
    <cellStyle name="Accent3 2 10" xfId="1345" xr:uid="{00000000-0005-0000-0000-000041050000}"/>
    <cellStyle name="Accent3 2 11" xfId="1470" xr:uid="{00000000-0005-0000-0000-0000BE050000}"/>
    <cellStyle name="Accent3 2 12" xfId="1595" xr:uid="{00000000-0005-0000-0000-00003B060000}"/>
    <cellStyle name="Accent3 2 13" xfId="1720" xr:uid="{00000000-0005-0000-0000-0000B8060000}"/>
    <cellStyle name="Accent3 2 14" xfId="1836" xr:uid="{00000000-0005-0000-0000-00002C070000}"/>
    <cellStyle name="Accent3 2 15" xfId="1952" xr:uid="{00000000-0005-0000-0000-0000A0070000}"/>
    <cellStyle name="Accent3 2 16" xfId="2069" xr:uid="{00000000-0005-0000-0000-000015080000}"/>
    <cellStyle name="Accent3 2 2" xfId="291" xr:uid="{00000000-0005-0000-0000-000023010000}"/>
    <cellStyle name="Accent3 2 3" xfId="476" xr:uid="{00000000-0005-0000-0000-0000DC010000}"/>
    <cellStyle name="Accent3 2 4" xfId="591" xr:uid="{00000000-0005-0000-0000-00004F020000}"/>
    <cellStyle name="Accent3 2 5" xfId="716" xr:uid="{00000000-0005-0000-0000-0000CC020000}"/>
    <cellStyle name="Accent3 2 6" xfId="841" xr:uid="{00000000-0005-0000-0000-000049030000}"/>
    <cellStyle name="Accent3 2 7" xfId="966" xr:uid="{00000000-0005-0000-0000-0000C6030000}"/>
    <cellStyle name="Accent3 2 8" xfId="1096" xr:uid="{00000000-0005-0000-0000-000048040000}"/>
    <cellStyle name="Accent3 2 9" xfId="1220" xr:uid="{00000000-0005-0000-0000-0000C4040000}"/>
    <cellStyle name="Accent4 2" xfId="64" xr:uid="{00000000-0005-0000-0000-000040000000}"/>
    <cellStyle name="Accent4 2 10" xfId="1346" xr:uid="{00000000-0005-0000-0000-000042050000}"/>
    <cellStyle name="Accent4 2 11" xfId="1471" xr:uid="{00000000-0005-0000-0000-0000BF050000}"/>
    <cellStyle name="Accent4 2 12" xfId="1596" xr:uid="{00000000-0005-0000-0000-00003C060000}"/>
    <cellStyle name="Accent4 2 13" xfId="1721" xr:uid="{00000000-0005-0000-0000-0000B9060000}"/>
    <cellStyle name="Accent4 2 14" xfId="1837" xr:uid="{00000000-0005-0000-0000-00002D070000}"/>
    <cellStyle name="Accent4 2 15" xfId="1953" xr:uid="{00000000-0005-0000-0000-0000A1070000}"/>
    <cellStyle name="Accent4 2 16" xfId="2070" xr:uid="{00000000-0005-0000-0000-000016080000}"/>
    <cellStyle name="Accent4 2 2" xfId="292" xr:uid="{00000000-0005-0000-0000-000024010000}"/>
    <cellStyle name="Accent4 2 3" xfId="477" xr:uid="{00000000-0005-0000-0000-0000DD010000}"/>
    <cellStyle name="Accent4 2 4" xfId="592" xr:uid="{00000000-0005-0000-0000-000050020000}"/>
    <cellStyle name="Accent4 2 5" xfId="717" xr:uid="{00000000-0005-0000-0000-0000CD020000}"/>
    <cellStyle name="Accent4 2 6" xfId="842" xr:uid="{00000000-0005-0000-0000-00004A030000}"/>
    <cellStyle name="Accent4 2 7" xfId="967" xr:uid="{00000000-0005-0000-0000-0000C7030000}"/>
    <cellStyle name="Accent4 2 8" xfId="1097" xr:uid="{00000000-0005-0000-0000-000049040000}"/>
    <cellStyle name="Accent4 2 9" xfId="1221" xr:uid="{00000000-0005-0000-0000-0000C5040000}"/>
    <cellStyle name="Accent5 2" xfId="65" xr:uid="{00000000-0005-0000-0000-000041000000}"/>
    <cellStyle name="Accent5 2 10" xfId="1347" xr:uid="{00000000-0005-0000-0000-000043050000}"/>
    <cellStyle name="Accent5 2 11" xfId="1472" xr:uid="{00000000-0005-0000-0000-0000C0050000}"/>
    <cellStyle name="Accent5 2 12" xfId="1597" xr:uid="{00000000-0005-0000-0000-00003D060000}"/>
    <cellStyle name="Accent5 2 13" xfId="1722" xr:uid="{00000000-0005-0000-0000-0000BA060000}"/>
    <cellStyle name="Accent5 2 14" xfId="1838" xr:uid="{00000000-0005-0000-0000-00002E070000}"/>
    <cellStyle name="Accent5 2 15" xfId="1954" xr:uid="{00000000-0005-0000-0000-0000A2070000}"/>
    <cellStyle name="Accent5 2 16" xfId="2071" xr:uid="{00000000-0005-0000-0000-000017080000}"/>
    <cellStyle name="Accent5 2 2" xfId="293" xr:uid="{00000000-0005-0000-0000-000025010000}"/>
    <cellStyle name="Accent5 2 3" xfId="478" xr:uid="{00000000-0005-0000-0000-0000DE010000}"/>
    <cellStyle name="Accent5 2 4" xfId="593" xr:uid="{00000000-0005-0000-0000-000051020000}"/>
    <cellStyle name="Accent5 2 5" xfId="718" xr:uid="{00000000-0005-0000-0000-0000CE020000}"/>
    <cellStyle name="Accent5 2 6" xfId="843" xr:uid="{00000000-0005-0000-0000-00004B030000}"/>
    <cellStyle name="Accent5 2 7" xfId="968" xr:uid="{00000000-0005-0000-0000-0000C8030000}"/>
    <cellStyle name="Accent5 2 8" xfId="1098" xr:uid="{00000000-0005-0000-0000-00004A040000}"/>
    <cellStyle name="Accent5 2 9" xfId="1222" xr:uid="{00000000-0005-0000-0000-0000C6040000}"/>
    <cellStyle name="Accent6 2" xfId="66" xr:uid="{00000000-0005-0000-0000-000042000000}"/>
    <cellStyle name="Accent6 2 10" xfId="1348" xr:uid="{00000000-0005-0000-0000-000044050000}"/>
    <cellStyle name="Accent6 2 11" xfId="1473" xr:uid="{00000000-0005-0000-0000-0000C1050000}"/>
    <cellStyle name="Accent6 2 12" xfId="1598" xr:uid="{00000000-0005-0000-0000-00003E060000}"/>
    <cellStyle name="Accent6 2 13" xfId="1723" xr:uid="{00000000-0005-0000-0000-0000BB060000}"/>
    <cellStyle name="Accent6 2 14" xfId="1839" xr:uid="{00000000-0005-0000-0000-00002F070000}"/>
    <cellStyle name="Accent6 2 15" xfId="1955" xr:uid="{00000000-0005-0000-0000-0000A3070000}"/>
    <cellStyle name="Accent6 2 16" xfId="2072" xr:uid="{00000000-0005-0000-0000-000018080000}"/>
    <cellStyle name="Accent6 2 2" xfId="294" xr:uid="{00000000-0005-0000-0000-000026010000}"/>
    <cellStyle name="Accent6 2 3" xfId="479" xr:uid="{00000000-0005-0000-0000-0000DF010000}"/>
    <cellStyle name="Accent6 2 4" xfId="594" xr:uid="{00000000-0005-0000-0000-000052020000}"/>
    <cellStyle name="Accent6 2 5" xfId="719" xr:uid="{00000000-0005-0000-0000-0000CF020000}"/>
    <cellStyle name="Accent6 2 6" xfId="844" xr:uid="{00000000-0005-0000-0000-00004C030000}"/>
    <cellStyle name="Accent6 2 7" xfId="969" xr:uid="{00000000-0005-0000-0000-0000C9030000}"/>
    <cellStyle name="Accent6 2 8" xfId="1099" xr:uid="{00000000-0005-0000-0000-00004B040000}"/>
    <cellStyle name="Accent6 2 9" xfId="1223" xr:uid="{00000000-0005-0000-0000-0000C7040000}"/>
    <cellStyle name="ÅëÈ­ [0]_±âÅ¸" xfId="67" xr:uid="{00000000-0005-0000-0000-000043000000}"/>
    <cellStyle name="ÅëÈ­_±âÅ¸" xfId="68" xr:uid="{00000000-0005-0000-0000-000044000000}"/>
    <cellStyle name="ÄÞ¸¶ [0]_±âÅ¸" xfId="69" xr:uid="{00000000-0005-0000-0000-000045000000}"/>
    <cellStyle name="ÄÞ¸¶_±âÅ¸" xfId="70" xr:uid="{00000000-0005-0000-0000-000046000000}"/>
    <cellStyle name="Bad 2" xfId="71" xr:uid="{00000000-0005-0000-0000-000047000000}"/>
    <cellStyle name="Bad 2 10" xfId="1349" xr:uid="{00000000-0005-0000-0000-000045050000}"/>
    <cellStyle name="Bad 2 11" xfId="1474" xr:uid="{00000000-0005-0000-0000-0000C2050000}"/>
    <cellStyle name="Bad 2 12" xfId="1599" xr:uid="{00000000-0005-0000-0000-00003F060000}"/>
    <cellStyle name="Bad 2 13" xfId="1724" xr:uid="{00000000-0005-0000-0000-0000BC060000}"/>
    <cellStyle name="Bad 2 14" xfId="1840" xr:uid="{00000000-0005-0000-0000-000030070000}"/>
    <cellStyle name="Bad 2 15" xfId="1956" xr:uid="{00000000-0005-0000-0000-0000A4070000}"/>
    <cellStyle name="Bad 2 16" xfId="2073" xr:uid="{00000000-0005-0000-0000-000019080000}"/>
    <cellStyle name="Bad 2 2" xfId="295" xr:uid="{00000000-0005-0000-0000-000027010000}"/>
    <cellStyle name="Bad 2 3" xfId="480" xr:uid="{00000000-0005-0000-0000-0000E0010000}"/>
    <cellStyle name="Bad 2 4" xfId="595" xr:uid="{00000000-0005-0000-0000-000053020000}"/>
    <cellStyle name="Bad 2 5" xfId="720" xr:uid="{00000000-0005-0000-0000-0000D0020000}"/>
    <cellStyle name="Bad 2 6" xfId="845" xr:uid="{00000000-0005-0000-0000-00004D030000}"/>
    <cellStyle name="Bad 2 7" xfId="970" xr:uid="{00000000-0005-0000-0000-0000CA030000}"/>
    <cellStyle name="Bad 2 8" xfId="1100" xr:uid="{00000000-0005-0000-0000-00004C040000}"/>
    <cellStyle name="Bad 2 9" xfId="1224" xr:uid="{00000000-0005-0000-0000-0000C8040000}"/>
    <cellStyle name="Ç¥ÁØ_¿¬°£´©°è¿¹»ó" xfId="72" xr:uid="{00000000-0005-0000-0000-000048000000}"/>
    <cellStyle name="Calculation 2" xfId="73" xr:uid="{00000000-0005-0000-0000-000049000000}"/>
    <cellStyle name="Calculation 2 10" xfId="429" xr:uid="{00000000-0005-0000-0000-0000AD010000}"/>
    <cellStyle name="Calculation 2 11" xfId="481" xr:uid="{00000000-0005-0000-0000-0000E1010000}"/>
    <cellStyle name="Calculation 2 12" xfId="596" xr:uid="{00000000-0005-0000-0000-000054020000}"/>
    <cellStyle name="Calculation 2 13" xfId="661" xr:uid="{00000000-0005-0000-0000-000095020000}"/>
    <cellStyle name="Calculation 2 14" xfId="721" xr:uid="{00000000-0005-0000-0000-0000D1020000}"/>
    <cellStyle name="Calculation 2 15" xfId="786" xr:uid="{00000000-0005-0000-0000-000012030000}"/>
    <cellStyle name="Calculation 2 16" xfId="846" xr:uid="{00000000-0005-0000-0000-00004E030000}"/>
    <cellStyle name="Calculation 2 17" xfId="911" xr:uid="{00000000-0005-0000-0000-00008F030000}"/>
    <cellStyle name="Calculation 2 18" xfId="971" xr:uid="{00000000-0005-0000-0000-0000CB030000}"/>
    <cellStyle name="Calculation 2 19" xfId="1041" xr:uid="{00000000-0005-0000-0000-000011040000}"/>
    <cellStyle name="Calculation 2 2" xfId="224" xr:uid="{00000000-0005-0000-0000-0000E0000000}"/>
    <cellStyle name="Calculation 2 20" xfId="1101" xr:uid="{00000000-0005-0000-0000-00004D040000}"/>
    <cellStyle name="Calculation 2 21" xfId="1166" xr:uid="{00000000-0005-0000-0000-00008E040000}"/>
    <cellStyle name="Calculation 2 22" xfId="1225" xr:uid="{00000000-0005-0000-0000-0000C9040000}"/>
    <cellStyle name="Calculation 2 23" xfId="1290" xr:uid="{00000000-0005-0000-0000-00000A050000}"/>
    <cellStyle name="Calculation 2 24" xfId="1350" xr:uid="{00000000-0005-0000-0000-000046050000}"/>
    <cellStyle name="Calculation 2 25" xfId="1415" xr:uid="{00000000-0005-0000-0000-000087050000}"/>
    <cellStyle name="Calculation 2 26" xfId="1475" xr:uid="{00000000-0005-0000-0000-0000C3050000}"/>
    <cellStyle name="Calculation 2 27" xfId="1540" xr:uid="{00000000-0005-0000-0000-000004060000}"/>
    <cellStyle name="Calculation 2 28" xfId="1600" xr:uid="{00000000-0005-0000-0000-000040060000}"/>
    <cellStyle name="Calculation 2 29" xfId="1666" xr:uid="{00000000-0005-0000-0000-000082060000}"/>
    <cellStyle name="Calculation 2 3" xfId="296" xr:uid="{00000000-0005-0000-0000-000028010000}"/>
    <cellStyle name="Calculation 2 30" xfId="1725" xr:uid="{00000000-0005-0000-0000-0000BD060000}"/>
    <cellStyle name="Calculation 2 31" xfId="1841" xr:uid="{00000000-0005-0000-0000-000031070000}"/>
    <cellStyle name="Calculation 2 32" xfId="1957" xr:uid="{00000000-0005-0000-0000-0000A5070000}"/>
    <cellStyle name="Calculation 2 33" xfId="2074" xr:uid="{00000000-0005-0000-0000-00001A080000}"/>
    <cellStyle name="Calculation 2 4" xfId="367" xr:uid="{00000000-0005-0000-0000-00006F010000}"/>
    <cellStyle name="Calculation 2 5" xfId="382" xr:uid="{00000000-0005-0000-0000-00007E010000}"/>
    <cellStyle name="Calculation 2 6" xfId="396" xr:uid="{00000000-0005-0000-0000-00008C010000}"/>
    <cellStyle name="Calculation 2 7" xfId="361" xr:uid="{00000000-0005-0000-0000-000069010000}"/>
    <cellStyle name="Calculation 2 8" xfId="414" xr:uid="{00000000-0005-0000-0000-00009E010000}"/>
    <cellStyle name="Calculation 2 9" xfId="365" xr:uid="{00000000-0005-0000-0000-00006D010000}"/>
    <cellStyle name="Check Cell 2" xfId="74" xr:uid="{00000000-0005-0000-0000-00004A000000}"/>
    <cellStyle name="Check Cell 2 10" xfId="1351" xr:uid="{00000000-0005-0000-0000-000047050000}"/>
    <cellStyle name="Check Cell 2 11" xfId="1476" xr:uid="{00000000-0005-0000-0000-0000C4050000}"/>
    <cellStyle name="Check Cell 2 12" xfId="1601" xr:uid="{00000000-0005-0000-0000-000041060000}"/>
    <cellStyle name="Check Cell 2 13" xfId="1726" xr:uid="{00000000-0005-0000-0000-0000BE060000}"/>
    <cellStyle name="Check Cell 2 14" xfId="1842" xr:uid="{00000000-0005-0000-0000-000032070000}"/>
    <cellStyle name="Check Cell 2 15" xfId="1958" xr:uid="{00000000-0005-0000-0000-0000A6070000}"/>
    <cellStyle name="Check Cell 2 16" xfId="2075" xr:uid="{00000000-0005-0000-0000-00001B080000}"/>
    <cellStyle name="Check Cell 2 2" xfId="297" xr:uid="{00000000-0005-0000-0000-000029010000}"/>
    <cellStyle name="Check Cell 2 3" xfId="482" xr:uid="{00000000-0005-0000-0000-0000E2010000}"/>
    <cellStyle name="Check Cell 2 4" xfId="597" xr:uid="{00000000-0005-0000-0000-000055020000}"/>
    <cellStyle name="Check Cell 2 5" xfId="722" xr:uid="{00000000-0005-0000-0000-0000D2020000}"/>
    <cellStyle name="Check Cell 2 6" xfId="847" xr:uid="{00000000-0005-0000-0000-00004F030000}"/>
    <cellStyle name="Check Cell 2 7" xfId="972" xr:uid="{00000000-0005-0000-0000-0000CC030000}"/>
    <cellStyle name="Check Cell 2 8" xfId="1102" xr:uid="{00000000-0005-0000-0000-00004E040000}"/>
    <cellStyle name="Check Cell 2 9" xfId="1226" xr:uid="{00000000-0005-0000-0000-0000CA040000}"/>
    <cellStyle name="Comma [0] 2" xfId="9" xr:uid="{00000000-0005-0000-0000-000009000000}"/>
    <cellStyle name="Comma [0] 2 10" xfId="1055" xr:uid="{00000000-0005-0000-0000-00001F040000}"/>
    <cellStyle name="Comma [0] 2 11" xfId="1179" xr:uid="{00000000-0005-0000-0000-00009B040000}"/>
    <cellStyle name="Comma [0] 2 12" xfId="1304" xr:uid="{00000000-0005-0000-0000-000018050000}"/>
    <cellStyle name="Comma [0] 2 13" xfId="1429" xr:uid="{00000000-0005-0000-0000-000095050000}"/>
    <cellStyle name="Comma [0] 2 14" xfId="1554" xr:uid="{00000000-0005-0000-0000-000012060000}"/>
    <cellStyle name="Comma [0] 2 15" xfId="1679" xr:uid="{00000000-0005-0000-0000-00008F060000}"/>
    <cellStyle name="Comma [0] 2 16" xfId="1795" xr:uid="{00000000-0005-0000-0000-000003070000}"/>
    <cellStyle name="Comma [0] 2 17" xfId="1911" xr:uid="{00000000-0005-0000-0000-000077070000}"/>
    <cellStyle name="Comma [0] 2 18" xfId="2028" xr:uid="{00000000-0005-0000-0000-0000EC070000}"/>
    <cellStyle name="Comma [0] 2 2" xfId="195" xr:uid="{00000000-0005-0000-0000-0000C3000000}"/>
    <cellStyle name="Comma [0] 2 2 10" xfId="1286" xr:uid="{00000000-0005-0000-0000-000006050000}"/>
    <cellStyle name="Comma [0] 2 2 11" xfId="1411" xr:uid="{00000000-0005-0000-0000-000083050000}"/>
    <cellStyle name="Comma [0] 2 2 12" xfId="1536" xr:uid="{00000000-0005-0000-0000-000000060000}"/>
    <cellStyle name="Comma [0] 2 2 13" xfId="1661" xr:uid="{00000000-0005-0000-0000-00007D060000}"/>
    <cellStyle name="Comma [0] 2 2 14" xfId="1786" xr:uid="{00000000-0005-0000-0000-0000FA060000}"/>
    <cellStyle name="Comma [0] 2 2 15" xfId="1902" xr:uid="{00000000-0005-0000-0000-00006E070000}"/>
    <cellStyle name="Comma [0] 2 2 16" xfId="2018" xr:uid="{00000000-0005-0000-0000-0000E2070000}"/>
    <cellStyle name="Comma [0] 2 2 17" xfId="2135" xr:uid="{00000000-0005-0000-0000-000057080000}"/>
    <cellStyle name="Comma [0] 2 2 2" xfId="230" xr:uid="{00000000-0005-0000-0000-0000E6000000}"/>
    <cellStyle name="Comma [0] 2 2 3" xfId="357" xr:uid="{00000000-0005-0000-0000-000065010000}"/>
    <cellStyle name="Comma [0] 2 2 4" xfId="542" xr:uid="{00000000-0005-0000-0000-00001E020000}"/>
    <cellStyle name="Comma [0] 2 2 5" xfId="657" xr:uid="{00000000-0005-0000-0000-000091020000}"/>
    <cellStyle name="Comma [0] 2 2 6" xfId="782" xr:uid="{00000000-0005-0000-0000-00000E030000}"/>
    <cellStyle name="Comma [0] 2 2 7" xfId="907" xr:uid="{00000000-0005-0000-0000-00008B030000}"/>
    <cellStyle name="Comma [0] 2 2 8" xfId="1032" xr:uid="{00000000-0005-0000-0000-000008040000}"/>
    <cellStyle name="Comma [0] 2 2 9" xfId="1162" xr:uid="{00000000-0005-0000-0000-00008A040000}"/>
    <cellStyle name="Comma [0] 2 3" xfId="205" xr:uid="{00000000-0005-0000-0000-0000CD000000}"/>
    <cellStyle name="Comma [0] 2 3 10" xfId="1284" xr:uid="{00000000-0005-0000-0000-000004050000}"/>
    <cellStyle name="Comma [0] 2 3 11" xfId="1409" xr:uid="{00000000-0005-0000-0000-000081050000}"/>
    <cellStyle name="Comma [0] 2 3 12" xfId="1534" xr:uid="{00000000-0005-0000-0000-0000FE050000}"/>
    <cellStyle name="Comma [0] 2 3 13" xfId="1659" xr:uid="{00000000-0005-0000-0000-00007B060000}"/>
    <cellStyle name="Comma [0] 2 3 14" xfId="1784" xr:uid="{00000000-0005-0000-0000-0000F8060000}"/>
    <cellStyle name="Comma [0] 2 3 15" xfId="1900" xr:uid="{00000000-0005-0000-0000-00006C070000}"/>
    <cellStyle name="Comma [0] 2 3 16" xfId="2016" xr:uid="{00000000-0005-0000-0000-0000E0070000}"/>
    <cellStyle name="Comma [0] 2 3 17" xfId="2133" xr:uid="{00000000-0005-0000-0000-000055080000}"/>
    <cellStyle name="Comma [0] 2 3 2" xfId="227" xr:uid="{00000000-0005-0000-0000-0000E3000000}"/>
    <cellStyle name="Comma [0] 2 3 3" xfId="355" xr:uid="{00000000-0005-0000-0000-000063010000}"/>
    <cellStyle name="Comma [0] 2 3 4" xfId="540" xr:uid="{00000000-0005-0000-0000-00001C020000}"/>
    <cellStyle name="Comma [0] 2 3 5" xfId="655" xr:uid="{00000000-0005-0000-0000-00008F020000}"/>
    <cellStyle name="Comma [0] 2 3 6" xfId="780" xr:uid="{00000000-0005-0000-0000-00000C030000}"/>
    <cellStyle name="Comma [0] 2 3 7" xfId="905" xr:uid="{00000000-0005-0000-0000-000089030000}"/>
    <cellStyle name="Comma [0] 2 3 8" xfId="1030" xr:uid="{00000000-0005-0000-0000-000006040000}"/>
    <cellStyle name="Comma [0] 2 3 9" xfId="1160" xr:uid="{00000000-0005-0000-0000-000088040000}"/>
    <cellStyle name="Comma [0] 2 4" xfId="250" xr:uid="{00000000-0005-0000-0000-0000FA000000}"/>
    <cellStyle name="Comma [0] 2 5" xfId="435" xr:uid="{00000000-0005-0000-0000-0000B3010000}"/>
    <cellStyle name="Comma [0] 2 6" xfId="550" xr:uid="{00000000-0005-0000-0000-000026020000}"/>
    <cellStyle name="Comma [0] 2 7" xfId="675" xr:uid="{00000000-0005-0000-0000-0000A3020000}"/>
    <cellStyle name="Comma [0] 2 8" xfId="800" xr:uid="{00000000-0005-0000-0000-000020030000}"/>
    <cellStyle name="Comma [0] 2 9" xfId="925" xr:uid="{00000000-0005-0000-0000-00009D030000}"/>
    <cellStyle name="Comma [0] 3" xfId="10" xr:uid="{00000000-0005-0000-0000-00000A000000}"/>
    <cellStyle name="Comma [0] 8" xfId="226" xr:uid="{00000000-0005-0000-0000-0000E2000000}"/>
    <cellStyle name="Comma [0] 8 10" xfId="1408" xr:uid="{00000000-0005-0000-0000-000080050000}"/>
    <cellStyle name="Comma [0] 8 11" xfId="1533" xr:uid="{00000000-0005-0000-0000-0000FD050000}"/>
    <cellStyle name="Comma [0] 8 12" xfId="1658" xr:uid="{00000000-0005-0000-0000-00007A060000}"/>
    <cellStyle name="Comma [0] 8 13" xfId="1783" xr:uid="{00000000-0005-0000-0000-0000F7060000}"/>
    <cellStyle name="Comma [0] 8 14" xfId="1899" xr:uid="{00000000-0005-0000-0000-00006B070000}"/>
    <cellStyle name="Comma [0] 8 15" xfId="2015" xr:uid="{00000000-0005-0000-0000-0000DF070000}"/>
    <cellStyle name="Comma [0] 8 16" xfId="2132" xr:uid="{00000000-0005-0000-0000-000054080000}"/>
    <cellStyle name="Comma [0] 8 2" xfId="354" xr:uid="{00000000-0005-0000-0000-000062010000}"/>
    <cellStyle name="Comma [0] 8 3" xfId="539" xr:uid="{00000000-0005-0000-0000-00001B020000}"/>
    <cellStyle name="Comma [0] 8 4" xfId="654" xr:uid="{00000000-0005-0000-0000-00008E020000}"/>
    <cellStyle name="Comma [0] 8 5" xfId="779" xr:uid="{00000000-0005-0000-0000-00000B030000}"/>
    <cellStyle name="Comma [0] 8 6" xfId="904" xr:uid="{00000000-0005-0000-0000-000088030000}"/>
    <cellStyle name="Comma [0] 8 7" xfId="1029" xr:uid="{00000000-0005-0000-0000-000005040000}"/>
    <cellStyle name="Comma [0] 8 8" xfId="1159" xr:uid="{00000000-0005-0000-0000-000087040000}"/>
    <cellStyle name="Comma [0] 8 9" xfId="1283" xr:uid="{00000000-0005-0000-0000-000003050000}"/>
    <cellStyle name="Comma 10" xfId="76" xr:uid="{00000000-0005-0000-0000-00004C000000}"/>
    <cellStyle name="Comma 10 10" xfId="1228" xr:uid="{00000000-0005-0000-0000-0000CC040000}"/>
    <cellStyle name="Comma 10 11" xfId="1353" xr:uid="{00000000-0005-0000-0000-000049050000}"/>
    <cellStyle name="Comma 10 12" xfId="1478" xr:uid="{00000000-0005-0000-0000-0000C6050000}"/>
    <cellStyle name="Comma 10 13" xfId="1603" xr:uid="{00000000-0005-0000-0000-000043060000}"/>
    <cellStyle name="Comma 10 14" xfId="1728" xr:uid="{00000000-0005-0000-0000-0000C0060000}"/>
    <cellStyle name="Comma 10 15" xfId="1844" xr:uid="{00000000-0005-0000-0000-000034070000}"/>
    <cellStyle name="Comma 10 16" xfId="1960" xr:uid="{00000000-0005-0000-0000-0000A8070000}"/>
    <cellStyle name="Comma 10 17" xfId="2077" xr:uid="{00000000-0005-0000-0000-00001D080000}"/>
    <cellStyle name="Comma 10 2" xfId="214" xr:uid="{00000000-0005-0000-0000-0000D6000000}"/>
    <cellStyle name="Comma 10 2 2" xfId="12" xr:uid="{00000000-0005-0000-0000-00000C000000}"/>
    <cellStyle name="Comma 10 2 2 10" xfId="1180" xr:uid="{00000000-0005-0000-0000-00009C040000}"/>
    <cellStyle name="Comma 10 2 2 11" xfId="1305" xr:uid="{00000000-0005-0000-0000-000019050000}"/>
    <cellStyle name="Comma 10 2 2 12" xfId="1430" xr:uid="{00000000-0005-0000-0000-000096050000}"/>
    <cellStyle name="Comma 10 2 2 13" xfId="1555" xr:uid="{00000000-0005-0000-0000-000013060000}"/>
    <cellStyle name="Comma 10 2 2 14" xfId="1680" xr:uid="{00000000-0005-0000-0000-000090060000}"/>
    <cellStyle name="Comma 10 2 2 15" xfId="1796" xr:uid="{00000000-0005-0000-0000-000004070000}"/>
    <cellStyle name="Comma 10 2 2 16" xfId="1912" xr:uid="{00000000-0005-0000-0000-000078070000}"/>
    <cellStyle name="Comma 10 2 2 17" xfId="2029" xr:uid="{00000000-0005-0000-0000-0000ED070000}"/>
    <cellStyle name="Comma 10 2 2 2" xfId="211" xr:uid="{00000000-0005-0000-0000-0000D3000000}"/>
    <cellStyle name="Comma 10 2 2 3" xfId="251" xr:uid="{00000000-0005-0000-0000-0000FB000000}"/>
    <cellStyle name="Comma 10 2 2 4" xfId="436" xr:uid="{00000000-0005-0000-0000-0000B4010000}"/>
    <cellStyle name="Comma 10 2 2 5" xfId="551" xr:uid="{00000000-0005-0000-0000-000027020000}"/>
    <cellStyle name="Comma 10 2 2 6" xfId="676" xr:uid="{00000000-0005-0000-0000-0000A4020000}"/>
    <cellStyle name="Comma 10 2 2 7" xfId="801" xr:uid="{00000000-0005-0000-0000-000021030000}"/>
    <cellStyle name="Comma 10 2 2 8" xfId="926" xr:uid="{00000000-0005-0000-0000-00009E030000}"/>
    <cellStyle name="Comma 10 2 2 9" xfId="1056" xr:uid="{00000000-0005-0000-0000-000020040000}"/>
    <cellStyle name="Comma 10 3" xfId="299" xr:uid="{00000000-0005-0000-0000-00002B010000}"/>
    <cellStyle name="Comma 10 4" xfId="484" xr:uid="{00000000-0005-0000-0000-0000E4010000}"/>
    <cellStyle name="Comma 10 5" xfId="599" xr:uid="{00000000-0005-0000-0000-000057020000}"/>
    <cellStyle name="Comma 10 6" xfId="724" xr:uid="{00000000-0005-0000-0000-0000D4020000}"/>
    <cellStyle name="Comma 10 7" xfId="849" xr:uid="{00000000-0005-0000-0000-000051030000}"/>
    <cellStyle name="Comma 10 8" xfId="974" xr:uid="{00000000-0005-0000-0000-0000CE030000}"/>
    <cellStyle name="Comma 10 9" xfId="1104" xr:uid="{00000000-0005-0000-0000-000050040000}"/>
    <cellStyle name="Comma 11" xfId="190" xr:uid="{00000000-0005-0000-0000-0000BE000000}"/>
    <cellStyle name="Comma 11 2" xfId="2023" xr:uid="{00000000-0005-0000-0000-0000E7070000}"/>
    <cellStyle name="Comma 11 3" xfId="2140" xr:uid="{00000000-0005-0000-0000-00005C080000}"/>
    <cellStyle name="Comma 12" xfId="167" xr:uid="{00000000-0005-0000-0000-0000A7000000}"/>
    <cellStyle name="Comma 13" xfId="184" xr:uid="{00000000-0005-0000-0000-0000B8000000}"/>
    <cellStyle name="Comma 14" xfId="173" xr:uid="{00000000-0005-0000-0000-0000AD000000}"/>
    <cellStyle name="Comma 15" xfId="162" xr:uid="{00000000-0005-0000-0000-0000A2000000}"/>
    <cellStyle name="Comma 16" xfId="189" xr:uid="{00000000-0005-0000-0000-0000BD000000}"/>
    <cellStyle name="Comma 17" xfId="168" xr:uid="{00000000-0005-0000-0000-0000A8000000}"/>
    <cellStyle name="Comma 18" xfId="192" xr:uid="{00000000-0005-0000-0000-0000C0000000}"/>
    <cellStyle name="Comma 19" xfId="165" xr:uid="{00000000-0005-0000-0000-0000A5000000}"/>
    <cellStyle name="Comma 2" xfId="2" xr:uid="{00000000-0005-0000-0000-000002000000}"/>
    <cellStyle name="Comma 2 10" xfId="922" xr:uid="{00000000-0005-0000-0000-00009A030000}"/>
    <cellStyle name="Comma 2 11" xfId="1052" xr:uid="{00000000-0005-0000-0000-00001C040000}"/>
    <cellStyle name="Comma 2 12" xfId="1176" xr:uid="{00000000-0005-0000-0000-000098040000}"/>
    <cellStyle name="Comma 2 13" xfId="1301" xr:uid="{00000000-0005-0000-0000-000015050000}"/>
    <cellStyle name="Comma 2 14" xfId="1426" xr:uid="{00000000-0005-0000-0000-000092050000}"/>
    <cellStyle name="Comma 2 15" xfId="1551" xr:uid="{00000000-0005-0000-0000-00000F060000}"/>
    <cellStyle name="Comma 2 16" xfId="1676" xr:uid="{00000000-0005-0000-0000-00008C060000}"/>
    <cellStyle name="Comma 2 17" xfId="1792" xr:uid="{00000000-0005-0000-0000-000000070000}"/>
    <cellStyle name="Comma 2 18" xfId="1908" xr:uid="{00000000-0005-0000-0000-000074070000}"/>
    <cellStyle name="Comma 2 19" xfId="2025" xr:uid="{00000000-0005-0000-0000-0000E9070000}"/>
    <cellStyle name="Comma 2 2" xfId="156" xr:uid="{00000000-0005-0000-0000-00009C000000}"/>
    <cellStyle name="Comma 2 2 10" xfId="1278" xr:uid="{00000000-0005-0000-0000-0000FE040000}"/>
    <cellStyle name="Comma 2 2 11" xfId="1403" xr:uid="{00000000-0005-0000-0000-00007B050000}"/>
    <cellStyle name="Comma 2 2 12" xfId="1528" xr:uid="{00000000-0005-0000-0000-0000F8050000}"/>
    <cellStyle name="Comma 2 2 13" xfId="1653" xr:uid="{00000000-0005-0000-0000-000075060000}"/>
    <cellStyle name="Comma 2 2 14" xfId="1778" xr:uid="{00000000-0005-0000-0000-0000F2060000}"/>
    <cellStyle name="Comma 2 2 15" xfId="1894" xr:uid="{00000000-0005-0000-0000-000066070000}"/>
    <cellStyle name="Comma 2 2 16" xfId="2010" xr:uid="{00000000-0005-0000-0000-0000DA070000}"/>
    <cellStyle name="Comma 2 2 17" xfId="2127" xr:uid="{00000000-0005-0000-0000-00004F080000}"/>
    <cellStyle name="Comma 2 2 2" xfId="229" xr:uid="{00000000-0005-0000-0000-0000E5000000}"/>
    <cellStyle name="Comma 2 2 2 10" xfId="1410" xr:uid="{00000000-0005-0000-0000-000082050000}"/>
    <cellStyle name="Comma 2 2 2 11" xfId="1535" xr:uid="{00000000-0005-0000-0000-0000FF050000}"/>
    <cellStyle name="Comma 2 2 2 12" xfId="1660" xr:uid="{00000000-0005-0000-0000-00007C060000}"/>
    <cellStyle name="Comma 2 2 2 13" xfId="1785" xr:uid="{00000000-0005-0000-0000-0000F9060000}"/>
    <cellStyle name="Comma 2 2 2 14" xfId="1901" xr:uid="{00000000-0005-0000-0000-00006D070000}"/>
    <cellStyle name="Comma 2 2 2 15" xfId="2017" xr:uid="{00000000-0005-0000-0000-0000E1070000}"/>
    <cellStyle name="Comma 2 2 2 16" xfId="2134" xr:uid="{00000000-0005-0000-0000-000056080000}"/>
    <cellStyle name="Comma 2 2 2 2" xfId="356" xr:uid="{00000000-0005-0000-0000-000064010000}"/>
    <cellStyle name="Comma 2 2 2 3" xfId="541" xr:uid="{00000000-0005-0000-0000-00001D020000}"/>
    <cellStyle name="Comma 2 2 2 4" xfId="656" xr:uid="{00000000-0005-0000-0000-000090020000}"/>
    <cellStyle name="Comma 2 2 2 5" xfId="781" xr:uid="{00000000-0005-0000-0000-00000D030000}"/>
    <cellStyle name="Comma 2 2 2 6" xfId="906" xr:uid="{00000000-0005-0000-0000-00008A030000}"/>
    <cellStyle name="Comma 2 2 2 7" xfId="1031" xr:uid="{00000000-0005-0000-0000-000007040000}"/>
    <cellStyle name="Comma 2 2 2 8" xfId="1161" xr:uid="{00000000-0005-0000-0000-000089040000}"/>
    <cellStyle name="Comma 2 2 2 9" xfId="1285" xr:uid="{00000000-0005-0000-0000-000005050000}"/>
    <cellStyle name="Comma 2 2 3" xfId="349" xr:uid="{00000000-0005-0000-0000-00005D010000}"/>
    <cellStyle name="Comma 2 2 4" xfId="534" xr:uid="{00000000-0005-0000-0000-000016020000}"/>
    <cellStyle name="Comma 2 2 5" xfId="649" xr:uid="{00000000-0005-0000-0000-000089020000}"/>
    <cellStyle name="Comma 2 2 6" xfId="774" xr:uid="{00000000-0005-0000-0000-000006030000}"/>
    <cellStyle name="Comma 2 2 7" xfId="899" xr:uid="{00000000-0005-0000-0000-000083030000}"/>
    <cellStyle name="Comma 2 2 8" xfId="1024" xr:uid="{00000000-0005-0000-0000-000000040000}"/>
    <cellStyle name="Comma 2 2 9" xfId="1154" xr:uid="{00000000-0005-0000-0000-000082040000}"/>
    <cellStyle name="Comma 2 3" xfId="5" xr:uid="{00000000-0005-0000-0000-000005000000}"/>
    <cellStyle name="Comma 2 3 10" xfId="1288" xr:uid="{00000000-0005-0000-0000-000008050000}"/>
    <cellStyle name="Comma 2 3 11" xfId="1413" xr:uid="{00000000-0005-0000-0000-000085050000}"/>
    <cellStyle name="Comma 2 3 12" xfId="1538" xr:uid="{00000000-0005-0000-0000-000002060000}"/>
    <cellStyle name="Comma 2 3 13" xfId="1663" xr:uid="{00000000-0005-0000-0000-00007F060000}"/>
    <cellStyle name="Comma 2 3 14" xfId="1788" xr:uid="{00000000-0005-0000-0000-0000FC060000}"/>
    <cellStyle name="Comma 2 3 15" xfId="1904" xr:uid="{00000000-0005-0000-0000-000070070000}"/>
    <cellStyle name="Comma 2 3 16" xfId="2020" xr:uid="{00000000-0005-0000-0000-0000E4070000}"/>
    <cellStyle name="Comma 2 3 17" xfId="2137" xr:uid="{00000000-0005-0000-0000-000059080000}"/>
    <cellStyle name="Comma 2 3 2" xfId="235" xr:uid="{00000000-0005-0000-0000-0000EB000000}"/>
    <cellStyle name="Comma 2 3 3" xfId="359" xr:uid="{00000000-0005-0000-0000-000067010000}"/>
    <cellStyle name="Comma 2 3 4" xfId="544" xr:uid="{00000000-0005-0000-0000-000020020000}"/>
    <cellStyle name="Comma 2 3 5" xfId="659" xr:uid="{00000000-0005-0000-0000-000093020000}"/>
    <cellStyle name="Comma 2 3 6" xfId="784" xr:uid="{00000000-0005-0000-0000-000010030000}"/>
    <cellStyle name="Comma 2 3 7" xfId="909" xr:uid="{00000000-0005-0000-0000-00008D030000}"/>
    <cellStyle name="Comma 2 3 8" xfId="1034" xr:uid="{00000000-0005-0000-0000-00000A040000}"/>
    <cellStyle name="Comma 2 3 9" xfId="1164" xr:uid="{00000000-0005-0000-0000-00008C040000}"/>
    <cellStyle name="Comma 2 4" xfId="209" xr:uid="{00000000-0005-0000-0000-0000D1000000}"/>
    <cellStyle name="Comma 2 4 2" xfId="1665" xr:uid="{00000000-0005-0000-0000-000081060000}"/>
    <cellStyle name="Comma 2 4 3" xfId="1790" xr:uid="{00000000-0005-0000-0000-0000FE060000}"/>
    <cellStyle name="Comma 2 4 4" xfId="1906" xr:uid="{00000000-0005-0000-0000-000072070000}"/>
    <cellStyle name="Comma 2 4 5" xfId="2022" xr:uid="{00000000-0005-0000-0000-0000E6070000}"/>
    <cellStyle name="Comma 2 4 6" xfId="2139" xr:uid="{00000000-0005-0000-0000-00005B080000}"/>
    <cellStyle name="Comma 2 5" xfId="247" xr:uid="{00000000-0005-0000-0000-0000F7000000}"/>
    <cellStyle name="Comma 2 6" xfId="432" xr:uid="{00000000-0005-0000-0000-0000B0010000}"/>
    <cellStyle name="Comma 2 7" xfId="547" xr:uid="{00000000-0005-0000-0000-000023020000}"/>
    <cellStyle name="Comma 2 8" xfId="672" xr:uid="{00000000-0005-0000-0000-0000A0020000}"/>
    <cellStyle name="Comma 2 9" xfId="797" xr:uid="{00000000-0005-0000-0000-00001D030000}"/>
    <cellStyle name="Comma 20" xfId="186" xr:uid="{00000000-0005-0000-0000-0000BA000000}"/>
    <cellStyle name="Comma 21" xfId="171" xr:uid="{00000000-0005-0000-0000-0000AB000000}"/>
    <cellStyle name="Comma 22" xfId="183" xr:uid="{00000000-0005-0000-0000-0000B7000000}"/>
    <cellStyle name="Comma 23" xfId="174" xr:uid="{00000000-0005-0000-0000-0000AE000000}"/>
    <cellStyle name="Comma 24" xfId="181" xr:uid="{00000000-0005-0000-0000-0000B5000000}"/>
    <cellStyle name="Comma 25" xfId="159" xr:uid="{00000000-0005-0000-0000-00009F000000}"/>
    <cellStyle name="Comma 26" xfId="191" xr:uid="{00000000-0005-0000-0000-0000BF000000}"/>
    <cellStyle name="Comma 27" xfId="15" xr:uid="{00000000-0005-0000-0000-00000F000000}"/>
    <cellStyle name="Comma 27 10" xfId="1181" xr:uid="{00000000-0005-0000-0000-00009D040000}"/>
    <cellStyle name="Comma 27 11" xfId="1306" xr:uid="{00000000-0005-0000-0000-00001A050000}"/>
    <cellStyle name="Comma 27 12" xfId="1431" xr:uid="{00000000-0005-0000-0000-000097050000}"/>
    <cellStyle name="Comma 27 13" xfId="1556" xr:uid="{00000000-0005-0000-0000-000014060000}"/>
    <cellStyle name="Comma 27 14" xfId="1681" xr:uid="{00000000-0005-0000-0000-000091060000}"/>
    <cellStyle name="Comma 27 15" xfId="1797" xr:uid="{00000000-0005-0000-0000-000005070000}"/>
    <cellStyle name="Comma 27 16" xfId="1913" xr:uid="{00000000-0005-0000-0000-000079070000}"/>
    <cellStyle name="Comma 27 17" xfId="2030" xr:uid="{00000000-0005-0000-0000-0000EE070000}"/>
    <cellStyle name="Comma 27 2" xfId="212" xr:uid="{00000000-0005-0000-0000-0000D4000000}"/>
    <cellStyle name="Comma 27 3" xfId="252" xr:uid="{00000000-0005-0000-0000-0000FC000000}"/>
    <cellStyle name="Comma 27 4" xfId="437" xr:uid="{00000000-0005-0000-0000-0000B5010000}"/>
    <cellStyle name="Comma 27 5" xfId="552" xr:uid="{00000000-0005-0000-0000-000028020000}"/>
    <cellStyle name="Comma 27 6" xfId="677" xr:uid="{00000000-0005-0000-0000-0000A5020000}"/>
    <cellStyle name="Comma 27 7" xfId="802" xr:uid="{00000000-0005-0000-0000-000022030000}"/>
    <cellStyle name="Comma 27 8" xfId="927" xr:uid="{00000000-0005-0000-0000-00009F030000}"/>
    <cellStyle name="Comma 27 9" xfId="1057" xr:uid="{00000000-0005-0000-0000-000021040000}"/>
    <cellStyle name="Comma 28" xfId="166" xr:uid="{00000000-0005-0000-0000-0000A6000000}"/>
    <cellStyle name="Comma 29" xfId="185" xr:uid="{00000000-0005-0000-0000-0000B9000000}"/>
    <cellStyle name="Comma 3" xfId="8" xr:uid="{00000000-0005-0000-0000-000008000000}"/>
    <cellStyle name="Comma 3 10" xfId="1054" xr:uid="{00000000-0005-0000-0000-00001E040000}"/>
    <cellStyle name="Comma 3 11" xfId="1178" xr:uid="{00000000-0005-0000-0000-00009A040000}"/>
    <cellStyle name="Comma 3 12" xfId="1303" xr:uid="{00000000-0005-0000-0000-000017050000}"/>
    <cellStyle name="Comma 3 13" xfId="1428" xr:uid="{00000000-0005-0000-0000-000094050000}"/>
    <cellStyle name="Comma 3 14" xfId="1553" xr:uid="{00000000-0005-0000-0000-000011060000}"/>
    <cellStyle name="Comma 3 15" xfId="1678" xr:uid="{00000000-0005-0000-0000-00008E060000}"/>
    <cellStyle name="Comma 3 16" xfId="1794" xr:uid="{00000000-0005-0000-0000-000002070000}"/>
    <cellStyle name="Comma 3 17" xfId="1910" xr:uid="{00000000-0005-0000-0000-000076070000}"/>
    <cellStyle name="Comma 3 18" xfId="2027" xr:uid="{00000000-0005-0000-0000-0000EB070000}"/>
    <cellStyle name="Comma 3 2" xfId="194" xr:uid="{00000000-0005-0000-0000-0000C2000000}"/>
    <cellStyle name="Comma 3 2 10" xfId="1282" xr:uid="{00000000-0005-0000-0000-000002050000}"/>
    <cellStyle name="Comma 3 2 11" xfId="1407" xr:uid="{00000000-0005-0000-0000-00007F050000}"/>
    <cellStyle name="Comma 3 2 12" xfId="1532" xr:uid="{00000000-0005-0000-0000-0000FC050000}"/>
    <cellStyle name="Comma 3 2 13" xfId="1657" xr:uid="{00000000-0005-0000-0000-000079060000}"/>
    <cellStyle name="Comma 3 2 14" xfId="1782" xr:uid="{00000000-0005-0000-0000-0000F6060000}"/>
    <cellStyle name="Comma 3 2 15" xfId="1898" xr:uid="{00000000-0005-0000-0000-00006A070000}"/>
    <cellStyle name="Comma 3 2 16" xfId="2014" xr:uid="{00000000-0005-0000-0000-0000DE070000}"/>
    <cellStyle name="Comma 3 2 17" xfId="2131" xr:uid="{00000000-0005-0000-0000-000053080000}"/>
    <cellStyle name="Comma 3 2 2" xfId="221" xr:uid="{00000000-0005-0000-0000-0000DD000000}"/>
    <cellStyle name="Comma 3 2 3" xfId="353" xr:uid="{00000000-0005-0000-0000-000061010000}"/>
    <cellStyle name="Comma 3 2 4" xfId="538" xr:uid="{00000000-0005-0000-0000-00001A020000}"/>
    <cellStyle name="Comma 3 2 5" xfId="653" xr:uid="{00000000-0005-0000-0000-00008D020000}"/>
    <cellStyle name="Comma 3 2 6" xfId="778" xr:uid="{00000000-0005-0000-0000-00000A030000}"/>
    <cellStyle name="Comma 3 2 7" xfId="903" xr:uid="{00000000-0005-0000-0000-000087030000}"/>
    <cellStyle name="Comma 3 2 8" xfId="1028" xr:uid="{00000000-0005-0000-0000-000004040000}"/>
    <cellStyle name="Comma 3 2 9" xfId="1158" xr:uid="{00000000-0005-0000-0000-000086040000}"/>
    <cellStyle name="Comma 3 3" xfId="204" xr:uid="{00000000-0005-0000-0000-0000CC000000}"/>
    <cellStyle name="Comma 3 4" xfId="249" xr:uid="{00000000-0005-0000-0000-0000F9000000}"/>
    <cellStyle name="Comma 3 5" xfId="434" xr:uid="{00000000-0005-0000-0000-0000B2010000}"/>
    <cellStyle name="Comma 3 6" xfId="549" xr:uid="{00000000-0005-0000-0000-000025020000}"/>
    <cellStyle name="Comma 3 7" xfId="674" xr:uid="{00000000-0005-0000-0000-0000A2020000}"/>
    <cellStyle name="Comma 3 8" xfId="799" xr:uid="{00000000-0005-0000-0000-00001F030000}"/>
    <cellStyle name="Comma 3 9" xfId="924" xr:uid="{00000000-0005-0000-0000-00009C030000}"/>
    <cellStyle name="Comma 30" xfId="172" xr:uid="{00000000-0005-0000-0000-0000AC000000}"/>
    <cellStyle name="Comma 31" xfId="182" xr:uid="{00000000-0005-0000-0000-0000B6000000}"/>
    <cellStyle name="Comma 32" xfId="175" xr:uid="{00000000-0005-0000-0000-0000AF000000}"/>
    <cellStyle name="Comma 33" xfId="180" xr:uid="{00000000-0005-0000-0000-0000B4000000}"/>
    <cellStyle name="Comma 34" xfId="193" xr:uid="{00000000-0005-0000-0000-0000C1000000}"/>
    <cellStyle name="Comma 35" xfId="164" xr:uid="{00000000-0005-0000-0000-0000A4000000}"/>
    <cellStyle name="Comma 36" xfId="187" xr:uid="{00000000-0005-0000-0000-0000BB000000}"/>
    <cellStyle name="Comma 37" xfId="170" xr:uid="{00000000-0005-0000-0000-0000AA000000}"/>
    <cellStyle name="Comma 38" xfId="163" xr:uid="{00000000-0005-0000-0000-0000A3000000}"/>
    <cellStyle name="Comma 39" xfId="188" xr:uid="{00000000-0005-0000-0000-0000BC000000}"/>
    <cellStyle name="Comma 4" xfId="75" xr:uid="{00000000-0005-0000-0000-00004B000000}"/>
    <cellStyle name="Comma 4 10" xfId="973" xr:uid="{00000000-0005-0000-0000-0000CD030000}"/>
    <cellStyle name="Comma 4 11" xfId="1103" xr:uid="{00000000-0005-0000-0000-00004F040000}"/>
    <cellStyle name="Comma 4 12" xfId="1227" xr:uid="{00000000-0005-0000-0000-0000CB040000}"/>
    <cellStyle name="Comma 4 13" xfId="1352" xr:uid="{00000000-0005-0000-0000-000048050000}"/>
    <cellStyle name="Comma 4 14" xfId="1477" xr:uid="{00000000-0005-0000-0000-0000C5050000}"/>
    <cellStyle name="Comma 4 15" xfId="1602" xr:uid="{00000000-0005-0000-0000-000042060000}"/>
    <cellStyle name="Comma 4 16" xfId="1727" xr:uid="{00000000-0005-0000-0000-0000BF060000}"/>
    <cellStyle name="Comma 4 17" xfId="1843" xr:uid="{00000000-0005-0000-0000-000033070000}"/>
    <cellStyle name="Comma 4 18" xfId="1959" xr:uid="{00000000-0005-0000-0000-0000A7070000}"/>
    <cellStyle name="Comma 4 19" xfId="2076" xr:uid="{00000000-0005-0000-0000-00001C080000}"/>
    <cellStyle name="Comma 4 2" xfId="158" xr:uid="{00000000-0005-0000-0000-00009E000000}"/>
    <cellStyle name="Comma 4 2 10" xfId="1156" xr:uid="{00000000-0005-0000-0000-000084040000}"/>
    <cellStyle name="Comma 4 2 11" xfId="1280" xr:uid="{00000000-0005-0000-0000-000000050000}"/>
    <cellStyle name="Comma 4 2 12" xfId="1405" xr:uid="{00000000-0005-0000-0000-00007D050000}"/>
    <cellStyle name="Comma 4 2 13" xfId="1530" xr:uid="{00000000-0005-0000-0000-0000FA050000}"/>
    <cellStyle name="Comma 4 2 14" xfId="1655" xr:uid="{00000000-0005-0000-0000-000077060000}"/>
    <cellStyle name="Comma 4 2 15" xfId="1780" xr:uid="{00000000-0005-0000-0000-0000F4060000}"/>
    <cellStyle name="Comma 4 2 16" xfId="1896" xr:uid="{00000000-0005-0000-0000-000068070000}"/>
    <cellStyle name="Comma 4 2 17" xfId="2012" xr:uid="{00000000-0005-0000-0000-0000DC070000}"/>
    <cellStyle name="Comma 4 2 18" xfId="2129" xr:uid="{00000000-0005-0000-0000-000051080000}"/>
    <cellStyle name="Comma 4 2 2" xfId="203" xr:uid="{00000000-0005-0000-0000-0000CB000000}"/>
    <cellStyle name="Comma 4 2 3" xfId="208" xr:uid="{00000000-0005-0000-0000-0000D0000000}"/>
    <cellStyle name="Comma 4 2 4" xfId="351" xr:uid="{00000000-0005-0000-0000-00005F010000}"/>
    <cellStyle name="Comma 4 2 5" xfId="536" xr:uid="{00000000-0005-0000-0000-000018020000}"/>
    <cellStyle name="Comma 4 2 6" xfId="651" xr:uid="{00000000-0005-0000-0000-00008B020000}"/>
    <cellStyle name="Comma 4 2 7" xfId="776" xr:uid="{00000000-0005-0000-0000-000008030000}"/>
    <cellStyle name="Comma 4 2 8" xfId="901" xr:uid="{00000000-0005-0000-0000-000085030000}"/>
    <cellStyle name="Comma 4 2 9" xfId="1026" xr:uid="{00000000-0005-0000-0000-000002040000}"/>
    <cellStyle name="Comma 4 3" xfId="7" xr:uid="{00000000-0005-0000-0000-000007000000}"/>
    <cellStyle name="Comma 4 3 10" xfId="1177" xr:uid="{00000000-0005-0000-0000-000099040000}"/>
    <cellStyle name="Comma 4 3 11" xfId="1302" xr:uid="{00000000-0005-0000-0000-000016050000}"/>
    <cellStyle name="Comma 4 3 12" xfId="1427" xr:uid="{00000000-0005-0000-0000-000093050000}"/>
    <cellStyle name="Comma 4 3 13" xfId="1552" xr:uid="{00000000-0005-0000-0000-000010060000}"/>
    <cellStyle name="Comma 4 3 14" xfId="1677" xr:uid="{00000000-0005-0000-0000-00008D060000}"/>
    <cellStyle name="Comma 4 3 15" xfId="1793" xr:uid="{00000000-0005-0000-0000-000001070000}"/>
    <cellStyle name="Comma 4 3 16" xfId="1909" xr:uid="{00000000-0005-0000-0000-000075070000}"/>
    <cellStyle name="Comma 4 3 17" xfId="2026" xr:uid="{00000000-0005-0000-0000-0000EA070000}"/>
    <cellStyle name="Comma 4 3 2" xfId="210" xr:uid="{00000000-0005-0000-0000-0000D2000000}"/>
    <cellStyle name="Comma 4 3 3" xfId="248" xr:uid="{00000000-0005-0000-0000-0000F8000000}"/>
    <cellStyle name="Comma 4 3 4" xfId="433" xr:uid="{00000000-0005-0000-0000-0000B1010000}"/>
    <cellStyle name="Comma 4 3 5" xfId="548" xr:uid="{00000000-0005-0000-0000-000024020000}"/>
    <cellStyle name="Comma 4 3 6" xfId="673" xr:uid="{00000000-0005-0000-0000-0000A1020000}"/>
    <cellStyle name="Comma 4 3 7" xfId="798" xr:uid="{00000000-0005-0000-0000-00001E030000}"/>
    <cellStyle name="Comma 4 3 8" xfId="923" xr:uid="{00000000-0005-0000-0000-00009B030000}"/>
    <cellStyle name="Comma 4 3 9" xfId="1053" xr:uid="{00000000-0005-0000-0000-00001D040000}"/>
    <cellStyle name="Comma 4 4" xfId="213" xr:uid="{00000000-0005-0000-0000-0000D5000000}"/>
    <cellStyle name="Comma 4 5" xfId="298" xr:uid="{00000000-0005-0000-0000-00002A010000}"/>
    <cellStyle name="Comma 4 6" xfId="483" xr:uid="{00000000-0005-0000-0000-0000E3010000}"/>
    <cellStyle name="Comma 4 7" xfId="598" xr:uid="{00000000-0005-0000-0000-000056020000}"/>
    <cellStyle name="Comma 4 8" xfId="723" xr:uid="{00000000-0005-0000-0000-0000D3020000}"/>
    <cellStyle name="Comma 4 9" xfId="848" xr:uid="{00000000-0005-0000-0000-000050030000}"/>
    <cellStyle name="Comma 40" xfId="169" xr:uid="{00000000-0005-0000-0000-0000A9000000}"/>
    <cellStyle name="Comma 41" xfId="176" xr:uid="{00000000-0005-0000-0000-0000B0000000}"/>
    <cellStyle name="Comma 42" xfId="179" xr:uid="{00000000-0005-0000-0000-0000B3000000}"/>
    <cellStyle name="Comma 43" xfId="177" xr:uid="{00000000-0005-0000-0000-0000B1000000}"/>
    <cellStyle name="Comma 44" xfId="178" xr:uid="{00000000-0005-0000-0000-0000B2000000}"/>
    <cellStyle name="Comma 45" xfId="161" xr:uid="{00000000-0005-0000-0000-0000A1000000}"/>
    <cellStyle name="Comma 46" xfId="196" xr:uid="{00000000-0005-0000-0000-0000C4000000}"/>
    <cellStyle name="Comma 47" xfId="200" xr:uid="{00000000-0005-0000-0000-0000C8000000}"/>
    <cellStyle name="Comma 48" xfId="197" xr:uid="{00000000-0005-0000-0000-0000C5000000}"/>
    <cellStyle name="Comma 49" xfId="199" xr:uid="{00000000-0005-0000-0000-0000C7000000}"/>
    <cellStyle name="Comma 5" xfId="149" xr:uid="{00000000-0005-0000-0000-000095000000}"/>
    <cellStyle name="Comma 5 10" xfId="1274" xr:uid="{00000000-0005-0000-0000-0000FA040000}"/>
    <cellStyle name="Comma 5 11" xfId="1399" xr:uid="{00000000-0005-0000-0000-000077050000}"/>
    <cellStyle name="Comma 5 12" xfId="1524" xr:uid="{00000000-0005-0000-0000-0000F4050000}"/>
    <cellStyle name="Comma 5 13" xfId="1649" xr:uid="{00000000-0005-0000-0000-000071060000}"/>
    <cellStyle name="Comma 5 14" xfId="1774" xr:uid="{00000000-0005-0000-0000-0000EE060000}"/>
    <cellStyle name="Comma 5 15" xfId="1890" xr:uid="{00000000-0005-0000-0000-000062070000}"/>
    <cellStyle name="Comma 5 16" xfId="2006" xr:uid="{00000000-0005-0000-0000-0000D6070000}"/>
    <cellStyle name="Comma 5 17" xfId="2123" xr:uid="{00000000-0005-0000-0000-00004B080000}"/>
    <cellStyle name="Comma 5 2" xfId="215" xr:uid="{00000000-0005-0000-0000-0000D7000000}"/>
    <cellStyle name="Comma 5 3" xfId="345" xr:uid="{00000000-0005-0000-0000-000059010000}"/>
    <cellStyle name="Comma 5 4" xfId="530" xr:uid="{00000000-0005-0000-0000-000012020000}"/>
    <cellStyle name="Comma 5 5" xfId="645" xr:uid="{00000000-0005-0000-0000-000085020000}"/>
    <cellStyle name="Comma 5 6" xfId="770" xr:uid="{00000000-0005-0000-0000-000002030000}"/>
    <cellStyle name="Comma 5 7" xfId="895" xr:uid="{00000000-0005-0000-0000-00007F030000}"/>
    <cellStyle name="Comma 5 8" xfId="1020" xr:uid="{00000000-0005-0000-0000-0000FC030000}"/>
    <cellStyle name="Comma 5 9" xfId="1150" xr:uid="{00000000-0005-0000-0000-00007E040000}"/>
    <cellStyle name="Comma 50" xfId="198" xr:uid="{00000000-0005-0000-0000-0000C6000000}"/>
    <cellStyle name="Comma 6" xfId="150" xr:uid="{00000000-0005-0000-0000-000096000000}"/>
    <cellStyle name="Comma 6 10" xfId="1275" xr:uid="{00000000-0005-0000-0000-0000FB040000}"/>
    <cellStyle name="Comma 6 11" xfId="1400" xr:uid="{00000000-0005-0000-0000-000078050000}"/>
    <cellStyle name="Comma 6 12" xfId="1525" xr:uid="{00000000-0005-0000-0000-0000F5050000}"/>
    <cellStyle name="Comma 6 13" xfId="1650" xr:uid="{00000000-0005-0000-0000-000072060000}"/>
    <cellStyle name="Comma 6 14" xfId="1775" xr:uid="{00000000-0005-0000-0000-0000EF060000}"/>
    <cellStyle name="Comma 6 15" xfId="1891" xr:uid="{00000000-0005-0000-0000-000063070000}"/>
    <cellStyle name="Comma 6 16" xfId="2007" xr:uid="{00000000-0005-0000-0000-0000D7070000}"/>
    <cellStyle name="Comma 6 17" xfId="2124" xr:uid="{00000000-0005-0000-0000-00004C080000}"/>
    <cellStyle name="Comma 6 2" xfId="216" xr:uid="{00000000-0005-0000-0000-0000D8000000}"/>
    <cellStyle name="Comma 6 3" xfId="346" xr:uid="{00000000-0005-0000-0000-00005A010000}"/>
    <cellStyle name="Comma 6 4" xfId="531" xr:uid="{00000000-0005-0000-0000-000013020000}"/>
    <cellStyle name="Comma 6 5" xfId="646" xr:uid="{00000000-0005-0000-0000-000086020000}"/>
    <cellStyle name="Comma 6 6" xfId="771" xr:uid="{00000000-0005-0000-0000-000003030000}"/>
    <cellStyle name="Comma 6 7" xfId="896" xr:uid="{00000000-0005-0000-0000-000080030000}"/>
    <cellStyle name="Comma 6 8" xfId="1021" xr:uid="{00000000-0005-0000-0000-0000FD030000}"/>
    <cellStyle name="Comma 6 9" xfId="1151" xr:uid="{00000000-0005-0000-0000-00007F040000}"/>
    <cellStyle name="Comma 7" xfId="153" xr:uid="{00000000-0005-0000-0000-000099000000}"/>
    <cellStyle name="Comma 7 10" xfId="1276" xr:uid="{00000000-0005-0000-0000-0000FC040000}"/>
    <cellStyle name="Comma 7 11" xfId="1401" xr:uid="{00000000-0005-0000-0000-000079050000}"/>
    <cellStyle name="Comma 7 12" xfId="1526" xr:uid="{00000000-0005-0000-0000-0000F6050000}"/>
    <cellStyle name="Comma 7 13" xfId="1651" xr:uid="{00000000-0005-0000-0000-000073060000}"/>
    <cellStyle name="Comma 7 14" xfId="1776" xr:uid="{00000000-0005-0000-0000-0000F0060000}"/>
    <cellStyle name="Comma 7 15" xfId="1892" xr:uid="{00000000-0005-0000-0000-000064070000}"/>
    <cellStyle name="Comma 7 16" xfId="2008" xr:uid="{00000000-0005-0000-0000-0000D8070000}"/>
    <cellStyle name="Comma 7 17" xfId="2125" xr:uid="{00000000-0005-0000-0000-00004D080000}"/>
    <cellStyle name="Comma 7 2" xfId="217" xr:uid="{00000000-0005-0000-0000-0000D9000000}"/>
    <cellStyle name="Comma 7 3" xfId="347" xr:uid="{00000000-0005-0000-0000-00005B010000}"/>
    <cellStyle name="Comma 7 4" xfId="532" xr:uid="{00000000-0005-0000-0000-000014020000}"/>
    <cellStyle name="Comma 7 5" xfId="647" xr:uid="{00000000-0005-0000-0000-000087020000}"/>
    <cellStyle name="Comma 7 6" xfId="772" xr:uid="{00000000-0005-0000-0000-000004030000}"/>
    <cellStyle name="Comma 7 7" xfId="897" xr:uid="{00000000-0005-0000-0000-000081030000}"/>
    <cellStyle name="Comma 7 8" xfId="1022" xr:uid="{00000000-0005-0000-0000-0000FE030000}"/>
    <cellStyle name="Comma 7 9" xfId="1152" xr:uid="{00000000-0005-0000-0000-000080040000}"/>
    <cellStyle name="Comma 8" xfId="157" xr:uid="{00000000-0005-0000-0000-00009D000000}"/>
    <cellStyle name="Comma 8 10" xfId="1025" xr:uid="{00000000-0005-0000-0000-000001040000}"/>
    <cellStyle name="Comma 8 11" xfId="1155" xr:uid="{00000000-0005-0000-0000-000083040000}"/>
    <cellStyle name="Comma 8 12" xfId="1279" xr:uid="{00000000-0005-0000-0000-0000FF040000}"/>
    <cellStyle name="Comma 8 13" xfId="1404" xr:uid="{00000000-0005-0000-0000-00007C050000}"/>
    <cellStyle name="Comma 8 14" xfId="1529" xr:uid="{00000000-0005-0000-0000-0000F9050000}"/>
    <cellStyle name="Comma 8 15" xfId="1654" xr:uid="{00000000-0005-0000-0000-000076060000}"/>
    <cellStyle name="Comma 8 16" xfId="1779" xr:uid="{00000000-0005-0000-0000-0000F3060000}"/>
    <cellStyle name="Comma 8 17" xfId="1895" xr:uid="{00000000-0005-0000-0000-000067070000}"/>
    <cellStyle name="Comma 8 18" xfId="2011" xr:uid="{00000000-0005-0000-0000-0000DB070000}"/>
    <cellStyle name="Comma 8 19" xfId="2128" xr:uid="{00000000-0005-0000-0000-000050080000}"/>
    <cellStyle name="Comma 8 2" xfId="202" xr:uid="{00000000-0005-0000-0000-0000CA000000}"/>
    <cellStyle name="Comma 8 3" xfId="207" xr:uid="{00000000-0005-0000-0000-0000CF000000}"/>
    <cellStyle name="Comma 8 4" xfId="218" xr:uid="{00000000-0005-0000-0000-0000DA000000}"/>
    <cellStyle name="Comma 8 5" xfId="350" xr:uid="{00000000-0005-0000-0000-00005E010000}"/>
    <cellStyle name="Comma 8 6" xfId="535" xr:uid="{00000000-0005-0000-0000-000017020000}"/>
    <cellStyle name="Comma 8 7" xfId="650" xr:uid="{00000000-0005-0000-0000-00008A020000}"/>
    <cellStyle name="Comma 8 8" xfId="775" xr:uid="{00000000-0005-0000-0000-000007030000}"/>
    <cellStyle name="Comma 8 9" xfId="900" xr:uid="{00000000-0005-0000-0000-000084030000}"/>
    <cellStyle name="Comma 9" xfId="160" xr:uid="{00000000-0005-0000-0000-0000A0000000}"/>
    <cellStyle name="Comma 9 10" xfId="1281" xr:uid="{00000000-0005-0000-0000-000001050000}"/>
    <cellStyle name="Comma 9 11" xfId="1406" xr:uid="{00000000-0005-0000-0000-00007E050000}"/>
    <cellStyle name="Comma 9 12" xfId="1531" xr:uid="{00000000-0005-0000-0000-0000FB050000}"/>
    <cellStyle name="Comma 9 13" xfId="1656" xr:uid="{00000000-0005-0000-0000-000078060000}"/>
    <cellStyle name="Comma 9 14" xfId="1781" xr:uid="{00000000-0005-0000-0000-0000F5060000}"/>
    <cellStyle name="Comma 9 15" xfId="1897" xr:uid="{00000000-0005-0000-0000-000069070000}"/>
    <cellStyle name="Comma 9 16" xfId="2013" xr:uid="{00000000-0005-0000-0000-0000DD070000}"/>
    <cellStyle name="Comma 9 17" xfId="2130" xr:uid="{00000000-0005-0000-0000-000052080000}"/>
    <cellStyle name="Comma 9 2" xfId="220" xr:uid="{00000000-0005-0000-0000-0000DC000000}"/>
    <cellStyle name="Comma 9 3" xfId="352" xr:uid="{00000000-0005-0000-0000-000060010000}"/>
    <cellStyle name="Comma 9 4" xfId="537" xr:uid="{00000000-0005-0000-0000-000019020000}"/>
    <cellStyle name="Comma 9 5" xfId="652" xr:uid="{00000000-0005-0000-0000-00008C020000}"/>
    <cellStyle name="Comma 9 6" xfId="777" xr:uid="{00000000-0005-0000-0000-000009030000}"/>
    <cellStyle name="Comma 9 7" xfId="902" xr:uid="{00000000-0005-0000-0000-000086030000}"/>
    <cellStyle name="Comma 9 8" xfId="1027" xr:uid="{00000000-0005-0000-0000-000003040000}"/>
    <cellStyle name="Comma 9 9" xfId="1157" xr:uid="{00000000-0005-0000-0000-000085040000}"/>
    <cellStyle name="Comma0" xfId="78" xr:uid="{00000000-0005-0000-0000-00004E000000}"/>
    <cellStyle name="Comma0 10" xfId="1354" xr:uid="{00000000-0005-0000-0000-00004A050000}"/>
    <cellStyle name="Comma0 11" xfId="1479" xr:uid="{00000000-0005-0000-0000-0000C7050000}"/>
    <cellStyle name="Comma0 12" xfId="1604" xr:uid="{00000000-0005-0000-0000-000044060000}"/>
    <cellStyle name="Comma0 13" xfId="1729" xr:uid="{00000000-0005-0000-0000-0000C1060000}"/>
    <cellStyle name="Comma0 14" xfId="1845" xr:uid="{00000000-0005-0000-0000-000035070000}"/>
    <cellStyle name="Comma0 15" xfId="1961" xr:uid="{00000000-0005-0000-0000-0000A9070000}"/>
    <cellStyle name="Comma0 16" xfId="2078" xr:uid="{00000000-0005-0000-0000-00001E080000}"/>
    <cellStyle name="Comma0 2" xfId="300" xr:uid="{00000000-0005-0000-0000-00002C010000}"/>
    <cellStyle name="Comma0 3" xfId="485" xr:uid="{00000000-0005-0000-0000-0000E5010000}"/>
    <cellStyle name="Comma0 4" xfId="600" xr:uid="{00000000-0005-0000-0000-000058020000}"/>
    <cellStyle name="Comma0 5" xfId="725" xr:uid="{00000000-0005-0000-0000-0000D5020000}"/>
    <cellStyle name="Comma0 6" xfId="850" xr:uid="{00000000-0005-0000-0000-000052030000}"/>
    <cellStyle name="Comma0 7" xfId="975" xr:uid="{00000000-0005-0000-0000-0000CF030000}"/>
    <cellStyle name="Comma0 8" xfId="1105" xr:uid="{00000000-0005-0000-0000-000051040000}"/>
    <cellStyle name="Comma0 9" xfId="1229" xr:uid="{00000000-0005-0000-0000-0000CD040000}"/>
    <cellStyle name="Currency 2" xfId="3" xr:uid="{00000000-0005-0000-0000-000003000000}"/>
    <cellStyle name="Currency0" xfId="79" xr:uid="{00000000-0005-0000-0000-00004F000000}"/>
    <cellStyle name="Currency0 10" xfId="1355" xr:uid="{00000000-0005-0000-0000-00004B050000}"/>
    <cellStyle name="Currency0 11" xfId="1480" xr:uid="{00000000-0005-0000-0000-0000C8050000}"/>
    <cellStyle name="Currency0 12" xfId="1605" xr:uid="{00000000-0005-0000-0000-000045060000}"/>
    <cellStyle name="Currency0 13" xfId="1730" xr:uid="{00000000-0005-0000-0000-0000C2060000}"/>
    <cellStyle name="Currency0 14" xfId="1846" xr:uid="{00000000-0005-0000-0000-000036070000}"/>
    <cellStyle name="Currency0 15" xfId="1962" xr:uid="{00000000-0005-0000-0000-0000AA070000}"/>
    <cellStyle name="Currency0 16" xfId="2079" xr:uid="{00000000-0005-0000-0000-00001F080000}"/>
    <cellStyle name="Currency0 2" xfId="301" xr:uid="{00000000-0005-0000-0000-00002D010000}"/>
    <cellStyle name="Currency0 3" xfId="486" xr:uid="{00000000-0005-0000-0000-0000E6010000}"/>
    <cellStyle name="Currency0 4" xfId="601" xr:uid="{00000000-0005-0000-0000-000059020000}"/>
    <cellStyle name="Currency0 5" xfId="726" xr:uid="{00000000-0005-0000-0000-0000D6020000}"/>
    <cellStyle name="Currency0 6" xfId="851" xr:uid="{00000000-0005-0000-0000-000053030000}"/>
    <cellStyle name="Currency0 7" xfId="976" xr:uid="{00000000-0005-0000-0000-0000D0030000}"/>
    <cellStyle name="Currency0 8" xfId="1106" xr:uid="{00000000-0005-0000-0000-000052040000}"/>
    <cellStyle name="Currency0 9" xfId="1230" xr:uid="{00000000-0005-0000-0000-0000CE040000}"/>
    <cellStyle name="Date" xfId="80" xr:uid="{00000000-0005-0000-0000-000050000000}"/>
    <cellStyle name="Date 10" xfId="1356" xr:uid="{00000000-0005-0000-0000-00004C050000}"/>
    <cellStyle name="Date 11" xfId="1481" xr:uid="{00000000-0005-0000-0000-0000C9050000}"/>
    <cellStyle name="Date 12" xfId="1606" xr:uid="{00000000-0005-0000-0000-000046060000}"/>
    <cellStyle name="Date 13" xfId="1731" xr:uid="{00000000-0005-0000-0000-0000C3060000}"/>
    <cellStyle name="Date 14" xfId="1847" xr:uid="{00000000-0005-0000-0000-000037070000}"/>
    <cellStyle name="Date 15" xfId="1963" xr:uid="{00000000-0005-0000-0000-0000AB070000}"/>
    <cellStyle name="Date 16" xfId="2080" xr:uid="{00000000-0005-0000-0000-000020080000}"/>
    <cellStyle name="Date 2" xfId="302" xr:uid="{00000000-0005-0000-0000-00002E010000}"/>
    <cellStyle name="Date 3" xfId="487" xr:uid="{00000000-0005-0000-0000-0000E7010000}"/>
    <cellStyle name="Date 4" xfId="602" xr:uid="{00000000-0005-0000-0000-00005A020000}"/>
    <cellStyle name="Date 5" xfId="727" xr:uid="{00000000-0005-0000-0000-0000D7020000}"/>
    <cellStyle name="Date 6" xfId="852" xr:uid="{00000000-0005-0000-0000-000054030000}"/>
    <cellStyle name="Date 7" xfId="977" xr:uid="{00000000-0005-0000-0000-0000D1030000}"/>
    <cellStyle name="Date 8" xfId="1107" xr:uid="{00000000-0005-0000-0000-000053040000}"/>
    <cellStyle name="Date 9" xfId="1231" xr:uid="{00000000-0005-0000-0000-0000CF040000}"/>
    <cellStyle name="Explanatory Text 2" xfId="81" xr:uid="{00000000-0005-0000-0000-000051000000}"/>
    <cellStyle name="Explanatory Text 2 10" xfId="1357" xr:uid="{00000000-0005-0000-0000-00004D050000}"/>
    <cellStyle name="Explanatory Text 2 11" xfId="1482" xr:uid="{00000000-0005-0000-0000-0000CA050000}"/>
    <cellStyle name="Explanatory Text 2 12" xfId="1607" xr:uid="{00000000-0005-0000-0000-000047060000}"/>
    <cellStyle name="Explanatory Text 2 13" xfId="1732" xr:uid="{00000000-0005-0000-0000-0000C4060000}"/>
    <cellStyle name="Explanatory Text 2 14" xfId="1848" xr:uid="{00000000-0005-0000-0000-000038070000}"/>
    <cellStyle name="Explanatory Text 2 15" xfId="1964" xr:uid="{00000000-0005-0000-0000-0000AC070000}"/>
    <cellStyle name="Explanatory Text 2 16" xfId="2081" xr:uid="{00000000-0005-0000-0000-000021080000}"/>
    <cellStyle name="Explanatory Text 2 2" xfId="303" xr:uid="{00000000-0005-0000-0000-00002F010000}"/>
    <cellStyle name="Explanatory Text 2 3" xfId="488" xr:uid="{00000000-0005-0000-0000-0000E8010000}"/>
    <cellStyle name="Explanatory Text 2 4" xfId="603" xr:uid="{00000000-0005-0000-0000-00005B020000}"/>
    <cellStyle name="Explanatory Text 2 5" xfId="728" xr:uid="{00000000-0005-0000-0000-0000D8020000}"/>
    <cellStyle name="Explanatory Text 2 6" xfId="853" xr:uid="{00000000-0005-0000-0000-000055030000}"/>
    <cellStyle name="Explanatory Text 2 7" xfId="978" xr:uid="{00000000-0005-0000-0000-0000D2030000}"/>
    <cellStyle name="Explanatory Text 2 8" xfId="1108" xr:uid="{00000000-0005-0000-0000-000054040000}"/>
    <cellStyle name="Explanatory Text 2 9" xfId="1232" xr:uid="{00000000-0005-0000-0000-0000D0040000}"/>
    <cellStyle name="Fixed" xfId="82" xr:uid="{00000000-0005-0000-0000-000052000000}"/>
    <cellStyle name="Fixed 10" xfId="1358" xr:uid="{00000000-0005-0000-0000-00004E050000}"/>
    <cellStyle name="Fixed 11" xfId="1483" xr:uid="{00000000-0005-0000-0000-0000CB050000}"/>
    <cellStyle name="Fixed 12" xfId="1608" xr:uid="{00000000-0005-0000-0000-000048060000}"/>
    <cellStyle name="Fixed 13" xfId="1733" xr:uid="{00000000-0005-0000-0000-0000C5060000}"/>
    <cellStyle name="Fixed 14" xfId="1849" xr:uid="{00000000-0005-0000-0000-000039070000}"/>
    <cellStyle name="Fixed 15" xfId="1965" xr:uid="{00000000-0005-0000-0000-0000AD070000}"/>
    <cellStyle name="Fixed 16" xfId="2082" xr:uid="{00000000-0005-0000-0000-000022080000}"/>
    <cellStyle name="Fixed 2" xfId="304" xr:uid="{00000000-0005-0000-0000-000030010000}"/>
    <cellStyle name="Fixed 3" xfId="489" xr:uid="{00000000-0005-0000-0000-0000E9010000}"/>
    <cellStyle name="Fixed 4" xfId="604" xr:uid="{00000000-0005-0000-0000-00005C020000}"/>
    <cellStyle name="Fixed 5" xfId="729" xr:uid="{00000000-0005-0000-0000-0000D9020000}"/>
    <cellStyle name="Fixed 6" xfId="854" xr:uid="{00000000-0005-0000-0000-000056030000}"/>
    <cellStyle name="Fixed 7" xfId="979" xr:uid="{00000000-0005-0000-0000-0000D3030000}"/>
    <cellStyle name="Fixed 8" xfId="1109" xr:uid="{00000000-0005-0000-0000-000055040000}"/>
    <cellStyle name="Fixed 9" xfId="1233" xr:uid="{00000000-0005-0000-0000-0000D1040000}"/>
    <cellStyle name="Good 2" xfId="83" xr:uid="{00000000-0005-0000-0000-000053000000}"/>
    <cellStyle name="Good 2 10" xfId="1359" xr:uid="{00000000-0005-0000-0000-00004F050000}"/>
    <cellStyle name="Good 2 11" xfId="1484" xr:uid="{00000000-0005-0000-0000-0000CC050000}"/>
    <cellStyle name="Good 2 12" xfId="1609" xr:uid="{00000000-0005-0000-0000-000049060000}"/>
    <cellStyle name="Good 2 13" xfId="1734" xr:uid="{00000000-0005-0000-0000-0000C6060000}"/>
    <cellStyle name="Good 2 14" xfId="1850" xr:uid="{00000000-0005-0000-0000-00003A070000}"/>
    <cellStyle name="Good 2 15" xfId="1966" xr:uid="{00000000-0005-0000-0000-0000AE070000}"/>
    <cellStyle name="Good 2 16" xfId="2083" xr:uid="{00000000-0005-0000-0000-000023080000}"/>
    <cellStyle name="Good 2 2" xfId="305" xr:uid="{00000000-0005-0000-0000-000031010000}"/>
    <cellStyle name="Good 2 3" xfId="490" xr:uid="{00000000-0005-0000-0000-0000EA010000}"/>
    <cellStyle name="Good 2 4" xfId="605" xr:uid="{00000000-0005-0000-0000-00005D020000}"/>
    <cellStyle name="Good 2 5" xfId="730" xr:uid="{00000000-0005-0000-0000-0000DA020000}"/>
    <cellStyle name="Good 2 6" xfId="855" xr:uid="{00000000-0005-0000-0000-000057030000}"/>
    <cellStyle name="Good 2 7" xfId="980" xr:uid="{00000000-0005-0000-0000-0000D4030000}"/>
    <cellStyle name="Good 2 8" xfId="1110" xr:uid="{00000000-0005-0000-0000-000056040000}"/>
    <cellStyle name="Good 2 9" xfId="1234" xr:uid="{00000000-0005-0000-0000-0000D2040000}"/>
    <cellStyle name="Header1" xfId="84" xr:uid="{00000000-0005-0000-0000-000054000000}"/>
    <cellStyle name="Header1 10" xfId="1360" xr:uid="{00000000-0005-0000-0000-000050050000}"/>
    <cellStyle name="Header1 11" xfId="1485" xr:uid="{00000000-0005-0000-0000-0000CD050000}"/>
    <cellStyle name="Header1 12" xfId="1610" xr:uid="{00000000-0005-0000-0000-00004A060000}"/>
    <cellStyle name="Header1 13" xfId="1735" xr:uid="{00000000-0005-0000-0000-0000C7060000}"/>
    <cellStyle name="Header1 14" xfId="1851" xr:uid="{00000000-0005-0000-0000-00003B070000}"/>
    <cellStyle name="Header1 15" xfId="1967" xr:uid="{00000000-0005-0000-0000-0000AF070000}"/>
    <cellStyle name="Header1 16" xfId="2084" xr:uid="{00000000-0005-0000-0000-000024080000}"/>
    <cellStyle name="Header1 2" xfId="306" xr:uid="{00000000-0005-0000-0000-000032010000}"/>
    <cellStyle name="Header1 3" xfId="491" xr:uid="{00000000-0005-0000-0000-0000EB010000}"/>
    <cellStyle name="Header1 4" xfId="606" xr:uid="{00000000-0005-0000-0000-00005E020000}"/>
    <cellStyle name="Header1 5" xfId="731" xr:uid="{00000000-0005-0000-0000-0000DB020000}"/>
    <cellStyle name="Header1 6" xfId="856" xr:uid="{00000000-0005-0000-0000-000058030000}"/>
    <cellStyle name="Header1 7" xfId="981" xr:uid="{00000000-0005-0000-0000-0000D5030000}"/>
    <cellStyle name="Header1 8" xfId="1111" xr:uid="{00000000-0005-0000-0000-000057040000}"/>
    <cellStyle name="Header1 9" xfId="1235" xr:uid="{00000000-0005-0000-0000-0000D3040000}"/>
    <cellStyle name="Header2" xfId="85" xr:uid="{00000000-0005-0000-0000-000055000000}"/>
    <cellStyle name="Header2 10" xfId="662" xr:uid="{00000000-0005-0000-0000-000096020000}"/>
    <cellStyle name="Header2 11" xfId="787" xr:uid="{00000000-0005-0000-0000-000013030000}"/>
    <cellStyle name="Header2 12" xfId="912" xr:uid="{00000000-0005-0000-0000-000090030000}"/>
    <cellStyle name="Header2 13" xfId="1042" xr:uid="{00000000-0005-0000-0000-000012040000}"/>
    <cellStyle name="Header2 14" xfId="1291" xr:uid="{00000000-0005-0000-0000-00000B050000}"/>
    <cellStyle name="Header2 15" xfId="1416" xr:uid="{00000000-0005-0000-0000-000088050000}"/>
    <cellStyle name="Header2 16" xfId="1541" xr:uid="{00000000-0005-0000-0000-000005060000}"/>
    <cellStyle name="Header2 2" xfId="223" xr:uid="{00000000-0005-0000-0000-0000DF000000}"/>
    <cellStyle name="Header2 3" xfId="369" xr:uid="{00000000-0005-0000-0000-000071010000}"/>
    <cellStyle name="Header2 4" xfId="391" xr:uid="{00000000-0005-0000-0000-000087010000}"/>
    <cellStyle name="Header2 5" xfId="398" xr:uid="{00000000-0005-0000-0000-00008E010000}"/>
    <cellStyle name="Header2 6" xfId="379" xr:uid="{00000000-0005-0000-0000-00007B010000}"/>
    <cellStyle name="Header2 7" xfId="426" xr:uid="{00000000-0005-0000-0000-0000AA010000}"/>
    <cellStyle name="Header2 8" xfId="427" xr:uid="{00000000-0005-0000-0000-0000AB010000}"/>
    <cellStyle name="Header2 9" xfId="423" xr:uid="{00000000-0005-0000-0000-0000A7010000}"/>
    <cellStyle name="Heading 1 2" xfId="86" xr:uid="{00000000-0005-0000-0000-000056000000}"/>
    <cellStyle name="Heading 1 2 10" xfId="1361" xr:uid="{00000000-0005-0000-0000-000051050000}"/>
    <cellStyle name="Heading 1 2 11" xfId="1486" xr:uid="{00000000-0005-0000-0000-0000CE050000}"/>
    <cellStyle name="Heading 1 2 12" xfId="1611" xr:uid="{00000000-0005-0000-0000-00004B060000}"/>
    <cellStyle name="Heading 1 2 13" xfId="1736" xr:uid="{00000000-0005-0000-0000-0000C8060000}"/>
    <cellStyle name="Heading 1 2 14" xfId="1852" xr:uid="{00000000-0005-0000-0000-00003C070000}"/>
    <cellStyle name="Heading 1 2 15" xfId="1968" xr:uid="{00000000-0005-0000-0000-0000B0070000}"/>
    <cellStyle name="Heading 1 2 16" xfId="2085" xr:uid="{00000000-0005-0000-0000-000025080000}"/>
    <cellStyle name="Heading 1 2 2" xfId="307" xr:uid="{00000000-0005-0000-0000-000033010000}"/>
    <cellStyle name="Heading 1 2 3" xfId="492" xr:uid="{00000000-0005-0000-0000-0000EC010000}"/>
    <cellStyle name="Heading 1 2 4" xfId="607" xr:uid="{00000000-0005-0000-0000-00005F020000}"/>
    <cellStyle name="Heading 1 2 5" xfId="732" xr:uid="{00000000-0005-0000-0000-0000DC020000}"/>
    <cellStyle name="Heading 1 2 6" xfId="857" xr:uid="{00000000-0005-0000-0000-000059030000}"/>
    <cellStyle name="Heading 1 2 7" xfId="982" xr:uid="{00000000-0005-0000-0000-0000D6030000}"/>
    <cellStyle name="Heading 1 2 8" xfId="1112" xr:uid="{00000000-0005-0000-0000-000058040000}"/>
    <cellStyle name="Heading 1 2 9" xfId="1236" xr:uid="{00000000-0005-0000-0000-0000D4040000}"/>
    <cellStyle name="Heading 2 2" xfId="87" xr:uid="{00000000-0005-0000-0000-000057000000}"/>
    <cellStyle name="Heading 2 2 10" xfId="1362" xr:uid="{00000000-0005-0000-0000-000052050000}"/>
    <cellStyle name="Heading 2 2 11" xfId="1487" xr:uid="{00000000-0005-0000-0000-0000CF050000}"/>
    <cellStyle name="Heading 2 2 12" xfId="1612" xr:uid="{00000000-0005-0000-0000-00004C060000}"/>
    <cellStyle name="Heading 2 2 13" xfId="1737" xr:uid="{00000000-0005-0000-0000-0000C9060000}"/>
    <cellStyle name="Heading 2 2 14" xfId="1853" xr:uid="{00000000-0005-0000-0000-00003D070000}"/>
    <cellStyle name="Heading 2 2 15" xfId="1969" xr:uid="{00000000-0005-0000-0000-0000B1070000}"/>
    <cellStyle name="Heading 2 2 16" xfId="2086" xr:uid="{00000000-0005-0000-0000-000026080000}"/>
    <cellStyle name="Heading 2 2 2" xfId="308" xr:uid="{00000000-0005-0000-0000-000034010000}"/>
    <cellStyle name="Heading 2 2 3" xfId="493" xr:uid="{00000000-0005-0000-0000-0000ED010000}"/>
    <cellStyle name="Heading 2 2 4" xfId="608" xr:uid="{00000000-0005-0000-0000-000060020000}"/>
    <cellStyle name="Heading 2 2 5" xfId="733" xr:uid="{00000000-0005-0000-0000-0000DD020000}"/>
    <cellStyle name="Heading 2 2 6" xfId="858" xr:uid="{00000000-0005-0000-0000-00005A030000}"/>
    <cellStyle name="Heading 2 2 7" xfId="983" xr:uid="{00000000-0005-0000-0000-0000D7030000}"/>
    <cellStyle name="Heading 2 2 8" xfId="1113" xr:uid="{00000000-0005-0000-0000-000059040000}"/>
    <cellStyle name="Heading 2 2 9" xfId="1237" xr:uid="{00000000-0005-0000-0000-0000D5040000}"/>
    <cellStyle name="Heading 3 2" xfId="88" xr:uid="{00000000-0005-0000-0000-000058000000}"/>
    <cellStyle name="Heading 3 2 10" xfId="1363" xr:uid="{00000000-0005-0000-0000-000053050000}"/>
    <cellStyle name="Heading 3 2 11" xfId="1488" xr:uid="{00000000-0005-0000-0000-0000D0050000}"/>
    <cellStyle name="Heading 3 2 12" xfId="1613" xr:uid="{00000000-0005-0000-0000-00004D060000}"/>
    <cellStyle name="Heading 3 2 13" xfId="1738" xr:uid="{00000000-0005-0000-0000-0000CA060000}"/>
    <cellStyle name="Heading 3 2 14" xfId="1854" xr:uid="{00000000-0005-0000-0000-00003E070000}"/>
    <cellStyle name="Heading 3 2 15" xfId="1970" xr:uid="{00000000-0005-0000-0000-0000B2070000}"/>
    <cellStyle name="Heading 3 2 16" xfId="2087" xr:uid="{00000000-0005-0000-0000-000027080000}"/>
    <cellStyle name="Heading 3 2 2" xfId="309" xr:uid="{00000000-0005-0000-0000-000035010000}"/>
    <cellStyle name="Heading 3 2 3" xfId="494" xr:uid="{00000000-0005-0000-0000-0000EE010000}"/>
    <cellStyle name="Heading 3 2 4" xfId="609" xr:uid="{00000000-0005-0000-0000-000061020000}"/>
    <cellStyle name="Heading 3 2 5" xfId="734" xr:uid="{00000000-0005-0000-0000-0000DE020000}"/>
    <cellStyle name="Heading 3 2 6" xfId="859" xr:uid="{00000000-0005-0000-0000-00005B030000}"/>
    <cellStyle name="Heading 3 2 7" xfId="984" xr:uid="{00000000-0005-0000-0000-0000D8030000}"/>
    <cellStyle name="Heading 3 2 8" xfId="1114" xr:uid="{00000000-0005-0000-0000-00005A040000}"/>
    <cellStyle name="Heading 3 2 9" xfId="1238" xr:uid="{00000000-0005-0000-0000-0000D6040000}"/>
    <cellStyle name="Heading 4 2" xfId="89" xr:uid="{00000000-0005-0000-0000-000059000000}"/>
    <cellStyle name="Heading 4 2 10" xfId="1364" xr:uid="{00000000-0005-0000-0000-000054050000}"/>
    <cellStyle name="Heading 4 2 11" xfId="1489" xr:uid="{00000000-0005-0000-0000-0000D1050000}"/>
    <cellStyle name="Heading 4 2 12" xfId="1614" xr:uid="{00000000-0005-0000-0000-00004E060000}"/>
    <cellStyle name="Heading 4 2 13" xfId="1739" xr:uid="{00000000-0005-0000-0000-0000CB060000}"/>
    <cellStyle name="Heading 4 2 14" xfId="1855" xr:uid="{00000000-0005-0000-0000-00003F070000}"/>
    <cellStyle name="Heading 4 2 15" xfId="1971" xr:uid="{00000000-0005-0000-0000-0000B3070000}"/>
    <cellStyle name="Heading 4 2 16" xfId="2088" xr:uid="{00000000-0005-0000-0000-000028080000}"/>
    <cellStyle name="Heading 4 2 2" xfId="310" xr:uid="{00000000-0005-0000-0000-000036010000}"/>
    <cellStyle name="Heading 4 2 3" xfId="495" xr:uid="{00000000-0005-0000-0000-0000EF010000}"/>
    <cellStyle name="Heading 4 2 4" xfId="610" xr:uid="{00000000-0005-0000-0000-000062020000}"/>
    <cellStyle name="Heading 4 2 5" xfId="735" xr:uid="{00000000-0005-0000-0000-0000DF020000}"/>
    <cellStyle name="Heading 4 2 6" xfId="860" xr:uid="{00000000-0005-0000-0000-00005C030000}"/>
    <cellStyle name="Heading 4 2 7" xfId="985" xr:uid="{00000000-0005-0000-0000-0000D9030000}"/>
    <cellStyle name="Heading 4 2 8" xfId="1115" xr:uid="{00000000-0005-0000-0000-00005B040000}"/>
    <cellStyle name="Heading 4 2 9" xfId="1239" xr:uid="{00000000-0005-0000-0000-0000D7040000}"/>
    <cellStyle name="Heading1" xfId="90" xr:uid="{00000000-0005-0000-0000-00005A000000}"/>
    <cellStyle name="Heading2" xfId="91" xr:uid="{00000000-0005-0000-0000-00005B000000}"/>
    <cellStyle name="Input 2" xfId="92" xr:uid="{00000000-0005-0000-0000-00005C000000}"/>
    <cellStyle name="Input 2 10" xfId="412" xr:uid="{00000000-0005-0000-0000-00009C010000}"/>
    <cellStyle name="Input 2 11" xfId="496" xr:uid="{00000000-0005-0000-0000-0000F0010000}"/>
    <cellStyle name="Input 2 12" xfId="611" xr:uid="{00000000-0005-0000-0000-000063020000}"/>
    <cellStyle name="Input 2 13" xfId="663" xr:uid="{00000000-0005-0000-0000-000097020000}"/>
    <cellStyle name="Input 2 14" xfId="736" xr:uid="{00000000-0005-0000-0000-0000E0020000}"/>
    <cellStyle name="Input 2 15" xfId="788" xr:uid="{00000000-0005-0000-0000-000014030000}"/>
    <cellStyle name="Input 2 16" xfId="861" xr:uid="{00000000-0005-0000-0000-00005D030000}"/>
    <cellStyle name="Input 2 17" xfId="913" xr:uid="{00000000-0005-0000-0000-000091030000}"/>
    <cellStyle name="Input 2 18" xfId="986" xr:uid="{00000000-0005-0000-0000-0000DA030000}"/>
    <cellStyle name="Input 2 19" xfId="1043" xr:uid="{00000000-0005-0000-0000-000013040000}"/>
    <cellStyle name="Input 2 2" xfId="222" xr:uid="{00000000-0005-0000-0000-0000DE000000}"/>
    <cellStyle name="Input 2 20" xfId="1116" xr:uid="{00000000-0005-0000-0000-00005C040000}"/>
    <cellStyle name="Input 2 21" xfId="1167" xr:uid="{00000000-0005-0000-0000-00008F040000}"/>
    <cellStyle name="Input 2 22" xfId="1240" xr:uid="{00000000-0005-0000-0000-0000D8040000}"/>
    <cellStyle name="Input 2 23" xfId="1292" xr:uid="{00000000-0005-0000-0000-00000C050000}"/>
    <cellStyle name="Input 2 24" xfId="1365" xr:uid="{00000000-0005-0000-0000-000055050000}"/>
    <cellStyle name="Input 2 25" xfId="1417" xr:uid="{00000000-0005-0000-0000-000089050000}"/>
    <cellStyle name="Input 2 26" xfId="1490" xr:uid="{00000000-0005-0000-0000-0000D2050000}"/>
    <cellStyle name="Input 2 27" xfId="1542" xr:uid="{00000000-0005-0000-0000-000006060000}"/>
    <cellStyle name="Input 2 28" xfId="1615" xr:uid="{00000000-0005-0000-0000-00004F060000}"/>
    <cellStyle name="Input 2 29" xfId="1667" xr:uid="{00000000-0005-0000-0000-000083060000}"/>
    <cellStyle name="Input 2 3" xfId="311" xr:uid="{00000000-0005-0000-0000-000037010000}"/>
    <cellStyle name="Input 2 30" xfId="1740" xr:uid="{00000000-0005-0000-0000-0000CC060000}"/>
    <cellStyle name="Input 2 31" xfId="1856" xr:uid="{00000000-0005-0000-0000-000040070000}"/>
    <cellStyle name="Input 2 32" xfId="1972" xr:uid="{00000000-0005-0000-0000-0000B4070000}"/>
    <cellStyle name="Input 2 33" xfId="2089" xr:uid="{00000000-0005-0000-0000-000029080000}"/>
    <cellStyle name="Input 2 4" xfId="371" xr:uid="{00000000-0005-0000-0000-000073010000}"/>
    <cellStyle name="Input 2 5" xfId="370" xr:uid="{00000000-0005-0000-0000-000072010000}"/>
    <cellStyle name="Input 2 6" xfId="399" xr:uid="{00000000-0005-0000-0000-00008F010000}"/>
    <cellStyle name="Input 2 7" xfId="364" xr:uid="{00000000-0005-0000-0000-00006C010000}"/>
    <cellStyle name="Input 2 8" xfId="425" xr:uid="{00000000-0005-0000-0000-0000A9010000}"/>
    <cellStyle name="Input 2 9" xfId="421" xr:uid="{00000000-0005-0000-0000-0000A5010000}"/>
    <cellStyle name="Linked Cell 2" xfId="93" xr:uid="{00000000-0005-0000-0000-00005D000000}"/>
    <cellStyle name="Linked Cell 2 10" xfId="1366" xr:uid="{00000000-0005-0000-0000-000056050000}"/>
    <cellStyle name="Linked Cell 2 11" xfId="1491" xr:uid="{00000000-0005-0000-0000-0000D3050000}"/>
    <cellStyle name="Linked Cell 2 12" xfId="1616" xr:uid="{00000000-0005-0000-0000-000050060000}"/>
    <cellStyle name="Linked Cell 2 13" xfId="1741" xr:uid="{00000000-0005-0000-0000-0000CD060000}"/>
    <cellStyle name="Linked Cell 2 14" xfId="1857" xr:uid="{00000000-0005-0000-0000-000041070000}"/>
    <cellStyle name="Linked Cell 2 15" xfId="1973" xr:uid="{00000000-0005-0000-0000-0000B5070000}"/>
    <cellStyle name="Linked Cell 2 16" xfId="2090" xr:uid="{00000000-0005-0000-0000-00002A080000}"/>
    <cellStyle name="Linked Cell 2 2" xfId="312" xr:uid="{00000000-0005-0000-0000-000038010000}"/>
    <cellStyle name="Linked Cell 2 3" xfId="497" xr:uid="{00000000-0005-0000-0000-0000F1010000}"/>
    <cellStyle name="Linked Cell 2 4" xfId="612" xr:uid="{00000000-0005-0000-0000-000064020000}"/>
    <cellStyle name="Linked Cell 2 5" xfId="737" xr:uid="{00000000-0005-0000-0000-0000E1020000}"/>
    <cellStyle name="Linked Cell 2 6" xfId="862" xr:uid="{00000000-0005-0000-0000-00005E030000}"/>
    <cellStyle name="Linked Cell 2 7" xfId="987" xr:uid="{00000000-0005-0000-0000-0000DB030000}"/>
    <cellStyle name="Linked Cell 2 8" xfId="1117" xr:uid="{00000000-0005-0000-0000-00005D040000}"/>
    <cellStyle name="Linked Cell 2 9" xfId="1241" xr:uid="{00000000-0005-0000-0000-0000D9040000}"/>
    <cellStyle name="Neutral 2" xfId="94" xr:uid="{00000000-0005-0000-0000-00005E000000}"/>
    <cellStyle name="Neutral 2 10" xfId="1367" xr:uid="{00000000-0005-0000-0000-000057050000}"/>
    <cellStyle name="Neutral 2 11" xfId="1492" xr:uid="{00000000-0005-0000-0000-0000D4050000}"/>
    <cellStyle name="Neutral 2 12" xfId="1617" xr:uid="{00000000-0005-0000-0000-000051060000}"/>
    <cellStyle name="Neutral 2 13" xfId="1742" xr:uid="{00000000-0005-0000-0000-0000CE060000}"/>
    <cellStyle name="Neutral 2 14" xfId="1858" xr:uid="{00000000-0005-0000-0000-000042070000}"/>
    <cellStyle name="Neutral 2 15" xfId="1974" xr:uid="{00000000-0005-0000-0000-0000B6070000}"/>
    <cellStyle name="Neutral 2 16" xfId="2091" xr:uid="{00000000-0005-0000-0000-00002B080000}"/>
    <cellStyle name="Neutral 2 2" xfId="313" xr:uid="{00000000-0005-0000-0000-000039010000}"/>
    <cellStyle name="Neutral 2 3" xfId="498" xr:uid="{00000000-0005-0000-0000-0000F2010000}"/>
    <cellStyle name="Neutral 2 4" xfId="613" xr:uid="{00000000-0005-0000-0000-000065020000}"/>
    <cellStyle name="Neutral 2 5" xfId="738" xr:uid="{00000000-0005-0000-0000-0000E2020000}"/>
    <cellStyle name="Neutral 2 6" xfId="863" xr:uid="{00000000-0005-0000-0000-00005F030000}"/>
    <cellStyle name="Neutral 2 7" xfId="988" xr:uid="{00000000-0005-0000-0000-0000DC030000}"/>
    <cellStyle name="Neutral 2 8" xfId="1118" xr:uid="{00000000-0005-0000-0000-00005E040000}"/>
    <cellStyle name="Neutral 2 9" xfId="1242" xr:uid="{00000000-0005-0000-0000-0000DA040000}"/>
    <cellStyle name="Normal" xfId="0" builtinId="0"/>
    <cellStyle name="Normal - Style1" xfId="95" xr:uid="{00000000-0005-0000-0000-00005F000000}"/>
    <cellStyle name="Normal 10" xfId="96" xr:uid="{00000000-0005-0000-0000-000060000000}"/>
    <cellStyle name="Normal 11" xfId="97" xr:uid="{00000000-0005-0000-0000-000061000000}"/>
    <cellStyle name="Normal 12" xfId="17" xr:uid="{00000000-0005-0000-0000-000011000000}"/>
    <cellStyle name="Normal 12 2" xfId="98" xr:uid="{00000000-0005-0000-0000-000062000000}"/>
    <cellStyle name="Normal 13" xfId="18" xr:uid="{00000000-0005-0000-0000-000012000000}"/>
    <cellStyle name="Normal 13 2" xfId="99" xr:uid="{00000000-0005-0000-0000-000063000000}"/>
    <cellStyle name="Normal 14" xfId="100" xr:uid="{00000000-0005-0000-0000-000064000000}"/>
    <cellStyle name="Normal 15" xfId="101" xr:uid="{00000000-0005-0000-0000-000065000000}"/>
    <cellStyle name="Normal 15 2" xfId="233" xr:uid="{00000000-0005-0000-0000-0000E9000000}"/>
    <cellStyle name="Normal 16" xfId="102" xr:uid="{00000000-0005-0000-0000-000066000000}"/>
    <cellStyle name="Normal 17" xfId="103" xr:uid="{00000000-0005-0000-0000-000067000000}"/>
    <cellStyle name="Normal 18" xfId="104" xr:uid="{00000000-0005-0000-0000-000068000000}"/>
    <cellStyle name="Normal 18 2" xfId="11" xr:uid="{00000000-0005-0000-0000-00000B000000}"/>
    <cellStyle name="Normal 19" xfId="105" xr:uid="{00000000-0005-0000-0000-000069000000}"/>
    <cellStyle name="Normal 2" xfId="13" xr:uid="{00000000-0005-0000-0000-00000D000000}"/>
    <cellStyle name="Normal 2 11" xfId="225" xr:uid="{00000000-0005-0000-0000-0000E1000000}"/>
    <cellStyle name="Normal 2 2" xfId="4" xr:uid="{00000000-0005-0000-0000-000004000000}"/>
    <cellStyle name="Normal 2 2 2" xfId="107" xr:uid="{00000000-0005-0000-0000-00006B000000}"/>
    <cellStyle name="Normal 2 3" xfId="108" xr:uid="{00000000-0005-0000-0000-00006C000000}"/>
    <cellStyle name="Normal 2 3 2" xfId="234" xr:uid="{00000000-0005-0000-0000-0000EA000000}"/>
    <cellStyle name="Normal 2 4" xfId="106" xr:uid="{00000000-0005-0000-0000-00006A000000}"/>
    <cellStyle name="Normal 2 4 2" xfId="228" xr:uid="{00000000-0005-0000-0000-0000E4000000}"/>
    <cellStyle name="Normal 2 5" xfId="232" xr:uid="{00000000-0005-0000-0000-0000E8000000}"/>
    <cellStyle name="Normal 20" xfId="19" xr:uid="{00000000-0005-0000-0000-000013000000}"/>
    <cellStyle name="Normal 21" xfId="77" xr:uid="{00000000-0005-0000-0000-00004D000000}"/>
    <cellStyle name="Normal 22" xfId="151" xr:uid="{00000000-0005-0000-0000-000097000000}"/>
    <cellStyle name="Normal 23" xfId="152" xr:uid="{00000000-0005-0000-0000-000098000000}"/>
    <cellStyle name="Normal 24" xfId="155" xr:uid="{00000000-0005-0000-0000-00009B000000}"/>
    <cellStyle name="Normal 24 2" xfId="201" xr:uid="{00000000-0005-0000-0000-0000C9000000}"/>
    <cellStyle name="Normal 24 3" xfId="206" xr:uid="{00000000-0005-0000-0000-0000CE000000}"/>
    <cellStyle name="Normal 25" xfId="219" xr:uid="{00000000-0005-0000-0000-0000DB000000}"/>
    <cellStyle name="Normal 3" xfId="6" xr:uid="{00000000-0005-0000-0000-000006000000}"/>
    <cellStyle name="Normal 3 2" xfId="110" xr:uid="{00000000-0005-0000-0000-00006E000000}"/>
    <cellStyle name="Normal 3 3" xfId="109" xr:uid="{00000000-0005-0000-0000-00006D000000}"/>
    <cellStyle name="Normal 4" xfId="111" xr:uid="{00000000-0005-0000-0000-00006F000000}"/>
    <cellStyle name="Normal 4 2" xfId="236" xr:uid="{00000000-0005-0000-0000-0000EC000000}"/>
    <cellStyle name="Normal 5" xfId="112" xr:uid="{00000000-0005-0000-0000-000070000000}"/>
    <cellStyle name="Normal 5 2" xfId="237" xr:uid="{00000000-0005-0000-0000-0000ED000000}"/>
    <cellStyle name="Normal 6" xfId="113" xr:uid="{00000000-0005-0000-0000-000071000000}"/>
    <cellStyle name="Normal 6 3 2 2" xfId="14" xr:uid="{00000000-0005-0000-0000-00000E000000}"/>
    <cellStyle name="Normal 7" xfId="114" xr:uid="{00000000-0005-0000-0000-000072000000}"/>
    <cellStyle name="Normal 8" xfId="115" xr:uid="{00000000-0005-0000-0000-000073000000}"/>
    <cellStyle name="Normal 9" xfId="16" xr:uid="{00000000-0005-0000-0000-000010000000}"/>
    <cellStyle name="Normal 9 2" xfId="116" xr:uid="{00000000-0005-0000-0000-000074000000}"/>
    <cellStyle name="Note 2" xfId="117" xr:uid="{00000000-0005-0000-0000-000075000000}"/>
    <cellStyle name="Note 2 10" xfId="394" xr:uid="{00000000-0005-0000-0000-00008A010000}"/>
    <cellStyle name="Note 2 11" xfId="499" xr:uid="{00000000-0005-0000-0000-0000F3010000}"/>
    <cellStyle name="Note 2 12" xfId="614" xr:uid="{00000000-0005-0000-0000-000066020000}"/>
    <cellStyle name="Note 2 13" xfId="664" xr:uid="{00000000-0005-0000-0000-000098020000}"/>
    <cellStyle name="Note 2 14" xfId="739" xr:uid="{00000000-0005-0000-0000-0000E3020000}"/>
    <cellStyle name="Note 2 15" xfId="789" xr:uid="{00000000-0005-0000-0000-000015030000}"/>
    <cellStyle name="Note 2 16" xfId="864" xr:uid="{00000000-0005-0000-0000-000060030000}"/>
    <cellStyle name="Note 2 17" xfId="914" xr:uid="{00000000-0005-0000-0000-000092030000}"/>
    <cellStyle name="Note 2 18" xfId="989" xr:uid="{00000000-0005-0000-0000-0000DD030000}"/>
    <cellStyle name="Note 2 19" xfId="1036" xr:uid="{00000000-0005-0000-0000-00000C040000}"/>
    <cellStyle name="Note 2 2" xfId="239" xr:uid="{00000000-0005-0000-0000-0000EF000000}"/>
    <cellStyle name="Note 2 20" xfId="1044" xr:uid="{00000000-0005-0000-0000-000014040000}"/>
    <cellStyle name="Note 2 21" xfId="1119" xr:uid="{00000000-0005-0000-0000-00005F040000}"/>
    <cellStyle name="Note 2 22" xfId="1168" xr:uid="{00000000-0005-0000-0000-000090040000}"/>
    <cellStyle name="Note 2 23" xfId="1243" xr:uid="{00000000-0005-0000-0000-0000DB040000}"/>
    <cellStyle name="Note 2 24" xfId="1293" xr:uid="{00000000-0005-0000-0000-00000D050000}"/>
    <cellStyle name="Note 2 25" xfId="1368" xr:uid="{00000000-0005-0000-0000-000058050000}"/>
    <cellStyle name="Note 2 26" xfId="1418" xr:uid="{00000000-0005-0000-0000-00008A050000}"/>
    <cellStyle name="Note 2 27" xfId="1493" xr:uid="{00000000-0005-0000-0000-0000D5050000}"/>
    <cellStyle name="Note 2 28" xfId="1543" xr:uid="{00000000-0005-0000-0000-000007060000}"/>
    <cellStyle name="Note 2 29" xfId="1618" xr:uid="{00000000-0005-0000-0000-000052060000}"/>
    <cellStyle name="Note 2 3" xfId="314" xr:uid="{00000000-0005-0000-0000-00003A010000}"/>
    <cellStyle name="Note 2 30" xfId="1668" xr:uid="{00000000-0005-0000-0000-000084060000}"/>
    <cellStyle name="Note 2 31" xfId="1743" xr:uid="{00000000-0005-0000-0000-0000CF060000}"/>
    <cellStyle name="Note 2 32" xfId="1859" xr:uid="{00000000-0005-0000-0000-000043070000}"/>
    <cellStyle name="Note 2 33" xfId="1975" xr:uid="{00000000-0005-0000-0000-0000B7070000}"/>
    <cellStyle name="Note 2 34" xfId="2092" xr:uid="{00000000-0005-0000-0000-00002C080000}"/>
    <cellStyle name="Note 2 4" xfId="375" xr:uid="{00000000-0005-0000-0000-000077010000}"/>
    <cellStyle name="Note 2 5" xfId="362" xr:uid="{00000000-0005-0000-0000-00006A010000}"/>
    <cellStyle name="Note 2 6" xfId="388" xr:uid="{00000000-0005-0000-0000-000084010000}"/>
    <cellStyle name="Note 2 7" xfId="400" xr:uid="{00000000-0005-0000-0000-000090010000}"/>
    <cellStyle name="Note 2 8" xfId="395" xr:uid="{00000000-0005-0000-0000-00008B010000}"/>
    <cellStyle name="Note 2 9" xfId="415" xr:uid="{00000000-0005-0000-0000-00009F010000}"/>
    <cellStyle name="Output 2" xfId="118" xr:uid="{00000000-0005-0000-0000-000076000000}"/>
    <cellStyle name="Output 2 10" xfId="422" xr:uid="{00000000-0005-0000-0000-0000A6010000}"/>
    <cellStyle name="Output 2 11" xfId="500" xr:uid="{00000000-0005-0000-0000-0000F4010000}"/>
    <cellStyle name="Output 2 12" xfId="615" xr:uid="{00000000-0005-0000-0000-000067020000}"/>
    <cellStyle name="Output 2 13" xfId="665" xr:uid="{00000000-0005-0000-0000-000099020000}"/>
    <cellStyle name="Output 2 14" xfId="740" xr:uid="{00000000-0005-0000-0000-0000E4020000}"/>
    <cellStyle name="Output 2 15" xfId="790" xr:uid="{00000000-0005-0000-0000-000016030000}"/>
    <cellStyle name="Output 2 16" xfId="865" xr:uid="{00000000-0005-0000-0000-000061030000}"/>
    <cellStyle name="Output 2 17" xfId="915" xr:uid="{00000000-0005-0000-0000-000093030000}"/>
    <cellStyle name="Output 2 18" xfId="990" xr:uid="{00000000-0005-0000-0000-0000DE030000}"/>
    <cellStyle name="Output 2 19" xfId="1037" xr:uid="{00000000-0005-0000-0000-00000D040000}"/>
    <cellStyle name="Output 2 2" xfId="240" xr:uid="{00000000-0005-0000-0000-0000F0000000}"/>
    <cellStyle name="Output 2 20" xfId="1045" xr:uid="{00000000-0005-0000-0000-000015040000}"/>
    <cellStyle name="Output 2 21" xfId="1120" xr:uid="{00000000-0005-0000-0000-000060040000}"/>
    <cellStyle name="Output 2 22" xfId="1169" xr:uid="{00000000-0005-0000-0000-000091040000}"/>
    <cellStyle name="Output 2 23" xfId="1244" xr:uid="{00000000-0005-0000-0000-0000DC040000}"/>
    <cellStyle name="Output 2 24" xfId="1294" xr:uid="{00000000-0005-0000-0000-00000E050000}"/>
    <cellStyle name="Output 2 25" xfId="1369" xr:uid="{00000000-0005-0000-0000-000059050000}"/>
    <cellStyle name="Output 2 26" xfId="1419" xr:uid="{00000000-0005-0000-0000-00008B050000}"/>
    <cellStyle name="Output 2 27" xfId="1494" xr:uid="{00000000-0005-0000-0000-0000D6050000}"/>
    <cellStyle name="Output 2 28" xfId="1544" xr:uid="{00000000-0005-0000-0000-000008060000}"/>
    <cellStyle name="Output 2 29" xfId="1619" xr:uid="{00000000-0005-0000-0000-000053060000}"/>
    <cellStyle name="Output 2 3" xfId="315" xr:uid="{00000000-0005-0000-0000-00003B010000}"/>
    <cellStyle name="Output 2 30" xfId="1669" xr:uid="{00000000-0005-0000-0000-000085060000}"/>
    <cellStyle name="Output 2 31" xfId="1744" xr:uid="{00000000-0005-0000-0000-0000D0060000}"/>
    <cellStyle name="Output 2 32" xfId="1860" xr:uid="{00000000-0005-0000-0000-000044070000}"/>
    <cellStyle name="Output 2 33" xfId="1976" xr:uid="{00000000-0005-0000-0000-0000B8070000}"/>
    <cellStyle name="Output 2 34" xfId="2093" xr:uid="{00000000-0005-0000-0000-00002D080000}"/>
    <cellStyle name="Output 2 4" xfId="376" xr:uid="{00000000-0005-0000-0000-000078010000}"/>
    <cellStyle name="Output 2 5" xfId="372" xr:uid="{00000000-0005-0000-0000-000074010000}"/>
    <cellStyle name="Output 2 6" xfId="385" xr:uid="{00000000-0005-0000-0000-000081010000}"/>
    <cellStyle name="Output 2 7" xfId="406" xr:uid="{00000000-0005-0000-0000-000096010000}"/>
    <cellStyle name="Output 2 8" xfId="393" xr:uid="{00000000-0005-0000-0000-000089010000}"/>
    <cellStyle name="Output 2 9" xfId="416" xr:uid="{00000000-0005-0000-0000-0000A0010000}"/>
    <cellStyle name="Percent" xfId="1" builtinId="5"/>
    <cellStyle name="Percent 10" xfId="671" xr:uid="{00000000-0005-0000-0000-00009F020000}"/>
    <cellStyle name="Percent 11" xfId="796" xr:uid="{00000000-0005-0000-0000-00001C030000}"/>
    <cellStyle name="Percent 12" xfId="921" xr:uid="{00000000-0005-0000-0000-000099030000}"/>
    <cellStyle name="Percent 13" xfId="1051" xr:uid="{00000000-0005-0000-0000-00001B040000}"/>
    <cellStyle name="Percent 14" xfId="1175" xr:uid="{00000000-0005-0000-0000-000097040000}"/>
    <cellStyle name="Percent 15" xfId="1300" xr:uid="{00000000-0005-0000-0000-000014050000}"/>
    <cellStyle name="Percent 16" xfId="1425" xr:uid="{00000000-0005-0000-0000-000091050000}"/>
    <cellStyle name="Percent 17" xfId="1550" xr:uid="{00000000-0005-0000-0000-00000E060000}"/>
    <cellStyle name="Percent 18" xfId="1675" xr:uid="{00000000-0005-0000-0000-00008B060000}"/>
    <cellStyle name="Percent 19" xfId="1791" xr:uid="{00000000-0005-0000-0000-0000FF060000}"/>
    <cellStyle name="Percent 2" xfId="120" xr:uid="{00000000-0005-0000-0000-000078000000}"/>
    <cellStyle name="Percent 2 10" xfId="1371" xr:uid="{00000000-0005-0000-0000-00005B050000}"/>
    <cellStyle name="Percent 2 11" xfId="1496" xr:uid="{00000000-0005-0000-0000-0000D8050000}"/>
    <cellStyle name="Percent 2 12" xfId="1621" xr:uid="{00000000-0005-0000-0000-000055060000}"/>
    <cellStyle name="Percent 2 13" xfId="1746" xr:uid="{00000000-0005-0000-0000-0000D2060000}"/>
    <cellStyle name="Percent 2 14" xfId="1862" xr:uid="{00000000-0005-0000-0000-000046070000}"/>
    <cellStyle name="Percent 2 15" xfId="1978" xr:uid="{00000000-0005-0000-0000-0000BA070000}"/>
    <cellStyle name="Percent 2 16" xfId="2095" xr:uid="{00000000-0005-0000-0000-00002F080000}"/>
    <cellStyle name="Percent 2 2" xfId="317" xr:uid="{00000000-0005-0000-0000-00003D010000}"/>
    <cellStyle name="Percent 2 3" xfId="502" xr:uid="{00000000-0005-0000-0000-0000F6010000}"/>
    <cellStyle name="Percent 2 4" xfId="617" xr:uid="{00000000-0005-0000-0000-000069020000}"/>
    <cellStyle name="Percent 2 5" xfId="742" xr:uid="{00000000-0005-0000-0000-0000E6020000}"/>
    <cellStyle name="Percent 2 6" xfId="867" xr:uid="{00000000-0005-0000-0000-000063030000}"/>
    <cellStyle name="Percent 2 7" xfId="992" xr:uid="{00000000-0005-0000-0000-0000E0030000}"/>
    <cellStyle name="Percent 2 8" xfId="1122" xr:uid="{00000000-0005-0000-0000-000062040000}"/>
    <cellStyle name="Percent 2 9" xfId="1246" xr:uid="{00000000-0005-0000-0000-0000DE040000}"/>
    <cellStyle name="Percent 20" xfId="1907" xr:uid="{00000000-0005-0000-0000-000073070000}"/>
    <cellStyle name="Percent 21" xfId="2024" xr:uid="{00000000-0005-0000-0000-0000E8070000}"/>
    <cellStyle name="Percent 3" xfId="121" xr:uid="{00000000-0005-0000-0000-000079000000}"/>
    <cellStyle name="Percent 3 10" xfId="1247" xr:uid="{00000000-0005-0000-0000-0000DF040000}"/>
    <cellStyle name="Percent 3 11" xfId="1372" xr:uid="{00000000-0005-0000-0000-00005C050000}"/>
    <cellStyle name="Percent 3 12" xfId="1497" xr:uid="{00000000-0005-0000-0000-0000D9050000}"/>
    <cellStyle name="Percent 3 13" xfId="1622" xr:uid="{00000000-0005-0000-0000-000056060000}"/>
    <cellStyle name="Percent 3 14" xfId="1747" xr:uid="{00000000-0005-0000-0000-0000D3060000}"/>
    <cellStyle name="Percent 3 15" xfId="1863" xr:uid="{00000000-0005-0000-0000-000047070000}"/>
    <cellStyle name="Percent 3 16" xfId="1979" xr:uid="{00000000-0005-0000-0000-0000BB070000}"/>
    <cellStyle name="Percent 3 17" xfId="2096" xr:uid="{00000000-0005-0000-0000-000030080000}"/>
    <cellStyle name="Percent 3 2" xfId="238" xr:uid="{00000000-0005-0000-0000-0000EE000000}"/>
    <cellStyle name="Percent 3 2 10" xfId="1414" xr:uid="{00000000-0005-0000-0000-000086050000}"/>
    <cellStyle name="Percent 3 2 11" xfId="1539" xr:uid="{00000000-0005-0000-0000-000003060000}"/>
    <cellStyle name="Percent 3 2 12" xfId="1664" xr:uid="{00000000-0005-0000-0000-000080060000}"/>
    <cellStyle name="Percent 3 2 13" xfId="1789" xr:uid="{00000000-0005-0000-0000-0000FD060000}"/>
    <cellStyle name="Percent 3 2 14" xfId="1905" xr:uid="{00000000-0005-0000-0000-000071070000}"/>
    <cellStyle name="Percent 3 2 15" xfId="2021" xr:uid="{00000000-0005-0000-0000-0000E5070000}"/>
    <cellStyle name="Percent 3 2 16" xfId="2138" xr:uid="{00000000-0005-0000-0000-00005A080000}"/>
    <cellStyle name="Percent 3 2 2" xfId="360" xr:uid="{00000000-0005-0000-0000-000068010000}"/>
    <cellStyle name="Percent 3 2 3" xfId="545" xr:uid="{00000000-0005-0000-0000-000021020000}"/>
    <cellStyle name="Percent 3 2 4" xfId="660" xr:uid="{00000000-0005-0000-0000-000094020000}"/>
    <cellStyle name="Percent 3 2 5" xfId="785" xr:uid="{00000000-0005-0000-0000-000011030000}"/>
    <cellStyle name="Percent 3 2 6" xfId="910" xr:uid="{00000000-0005-0000-0000-00008E030000}"/>
    <cellStyle name="Percent 3 2 7" xfId="1035" xr:uid="{00000000-0005-0000-0000-00000B040000}"/>
    <cellStyle name="Percent 3 2 8" xfId="1165" xr:uid="{00000000-0005-0000-0000-00008D040000}"/>
    <cellStyle name="Percent 3 2 9" xfId="1289" xr:uid="{00000000-0005-0000-0000-000009050000}"/>
    <cellStyle name="Percent 3 3" xfId="318" xr:uid="{00000000-0005-0000-0000-00003E010000}"/>
    <cellStyle name="Percent 3 4" xfId="503" xr:uid="{00000000-0005-0000-0000-0000F7010000}"/>
    <cellStyle name="Percent 3 5" xfId="618" xr:uid="{00000000-0005-0000-0000-00006A020000}"/>
    <cellStyle name="Percent 3 6" xfId="743" xr:uid="{00000000-0005-0000-0000-0000E7020000}"/>
    <cellStyle name="Percent 3 7" xfId="868" xr:uid="{00000000-0005-0000-0000-000064030000}"/>
    <cellStyle name="Percent 3 8" xfId="993" xr:uid="{00000000-0005-0000-0000-0000E1030000}"/>
    <cellStyle name="Percent 3 9" xfId="1123" xr:uid="{00000000-0005-0000-0000-000063040000}"/>
    <cellStyle name="Percent 4" xfId="119" xr:uid="{00000000-0005-0000-0000-000077000000}"/>
    <cellStyle name="Percent 4 10" xfId="1370" xr:uid="{00000000-0005-0000-0000-00005A050000}"/>
    <cellStyle name="Percent 4 11" xfId="1495" xr:uid="{00000000-0005-0000-0000-0000D7050000}"/>
    <cellStyle name="Percent 4 12" xfId="1620" xr:uid="{00000000-0005-0000-0000-000054060000}"/>
    <cellStyle name="Percent 4 13" xfId="1745" xr:uid="{00000000-0005-0000-0000-0000D1060000}"/>
    <cellStyle name="Percent 4 14" xfId="1861" xr:uid="{00000000-0005-0000-0000-000045070000}"/>
    <cellStyle name="Percent 4 15" xfId="1977" xr:uid="{00000000-0005-0000-0000-0000B9070000}"/>
    <cellStyle name="Percent 4 16" xfId="2094" xr:uid="{00000000-0005-0000-0000-00002E080000}"/>
    <cellStyle name="Percent 4 2" xfId="316" xr:uid="{00000000-0005-0000-0000-00003C010000}"/>
    <cellStyle name="Percent 4 3" xfId="501" xr:uid="{00000000-0005-0000-0000-0000F5010000}"/>
    <cellStyle name="Percent 4 4" xfId="616" xr:uid="{00000000-0005-0000-0000-000068020000}"/>
    <cellStyle name="Percent 4 5" xfId="741" xr:uid="{00000000-0005-0000-0000-0000E5020000}"/>
    <cellStyle name="Percent 4 6" xfId="866" xr:uid="{00000000-0005-0000-0000-000062030000}"/>
    <cellStyle name="Percent 4 7" xfId="991" xr:uid="{00000000-0005-0000-0000-0000DF030000}"/>
    <cellStyle name="Percent 4 8" xfId="1121" xr:uid="{00000000-0005-0000-0000-000061040000}"/>
    <cellStyle name="Percent 4 9" xfId="1245" xr:uid="{00000000-0005-0000-0000-0000DD040000}"/>
    <cellStyle name="Percent 5" xfId="154" xr:uid="{00000000-0005-0000-0000-00009A000000}"/>
    <cellStyle name="Percent 5 10" xfId="1402" xr:uid="{00000000-0005-0000-0000-00007A050000}"/>
    <cellStyle name="Percent 5 11" xfId="1527" xr:uid="{00000000-0005-0000-0000-0000F7050000}"/>
    <cellStyle name="Percent 5 12" xfId="1652" xr:uid="{00000000-0005-0000-0000-000074060000}"/>
    <cellStyle name="Percent 5 13" xfId="1777" xr:uid="{00000000-0005-0000-0000-0000F1060000}"/>
    <cellStyle name="Percent 5 14" xfId="1893" xr:uid="{00000000-0005-0000-0000-000065070000}"/>
    <cellStyle name="Percent 5 15" xfId="2009" xr:uid="{00000000-0005-0000-0000-0000D9070000}"/>
    <cellStyle name="Percent 5 16" xfId="2126" xr:uid="{00000000-0005-0000-0000-00004E080000}"/>
    <cellStyle name="Percent 5 2" xfId="348" xr:uid="{00000000-0005-0000-0000-00005C010000}"/>
    <cellStyle name="Percent 5 3" xfId="533" xr:uid="{00000000-0005-0000-0000-000015020000}"/>
    <cellStyle name="Percent 5 4" xfId="648" xr:uid="{00000000-0005-0000-0000-000088020000}"/>
    <cellStyle name="Percent 5 5" xfId="773" xr:uid="{00000000-0005-0000-0000-000005030000}"/>
    <cellStyle name="Percent 5 6" xfId="898" xr:uid="{00000000-0005-0000-0000-000082030000}"/>
    <cellStyle name="Percent 5 7" xfId="1023" xr:uid="{00000000-0005-0000-0000-0000FF030000}"/>
    <cellStyle name="Percent 5 8" xfId="1153" xr:uid="{00000000-0005-0000-0000-000081040000}"/>
    <cellStyle name="Percent 5 9" xfId="1277" xr:uid="{00000000-0005-0000-0000-0000FD040000}"/>
    <cellStyle name="Percent 6" xfId="231" xr:uid="{00000000-0005-0000-0000-0000E7000000}"/>
    <cellStyle name="Percent 6 10" xfId="1412" xr:uid="{00000000-0005-0000-0000-000084050000}"/>
    <cellStyle name="Percent 6 11" xfId="1537" xr:uid="{00000000-0005-0000-0000-000001060000}"/>
    <cellStyle name="Percent 6 12" xfId="1662" xr:uid="{00000000-0005-0000-0000-00007E060000}"/>
    <cellStyle name="Percent 6 13" xfId="1787" xr:uid="{00000000-0005-0000-0000-0000FB060000}"/>
    <cellStyle name="Percent 6 14" xfId="1903" xr:uid="{00000000-0005-0000-0000-00006F070000}"/>
    <cellStyle name="Percent 6 15" xfId="2019" xr:uid="{00000000-0005-0000-0000-0000E3070000}"/>
    <cellStyle name="Percent 6 16" xfId="2136" xr:uid="{00000000-0005-0000-0000-000058080000}"/>
    <cellStyle name="Percent 6 2" xfId="358" xr:uid="{00000000-0005-0000-0000-000066010000}"/>
    <cellStyle name="Percent 6 3" xfId="543" xr:uid="{00000000-0005-0000-0000-00001F020000}"/>
    <cellStyle name="Percent 6 4" xfId="658" xr:uid="{00000000-0005-0000-0000-000092020000}"/>
    <cellStyle name="Percent 6 5" xfId="783" xr:uid="{00000000-0005-0000-0000-00000F030000}"/>
    <cellStyle name="Percent 6 6" xfId="908" xr:uid="{00000000-0005-0000-0000-00008C030000}"/>
    <cellStyle name="Percent 6 7" xfId="1033" xr:uid="{00000000-0005-0000-0000-000009040000}"/>
    <cellStyle name="Percent 6 8" xfId="1163" xr:uid="{00000000-0005-0000-0000-00008B040000}"/>
    <cellStyle name="Percent 6 9" xfId="1287" xr:uid="{00000000-0005-0000-0000-000007050000}"/>
    <cellStyle name="Percent 7" xfId="246" xr:uid="{00000000-0005-0000-0000-0000F6000000}"/>
    <cellStyle name="Percent 8" xfId="431" xr:uid="{00000000-0005-0000-0000-0000AF010000}"/>
    <cellStyle name="Percent 9" xfId="546" xr:uid="{00000000-0005-0000-0000-000022020000}"/>
    <cellStyle name="Title 2" xfId="122" xr:uid="{00000000-0005-0000-0000-00007A000000}"/>
    <cellStyle name="Title 2 10" xfId="1373" xr:uid="{00000000-0005-0000-0000-00005D050000}"/>
    <cellStyle name="Title 2 11" xfId="1498" xr:uid="{00000000-0005-0000-0000-0000DA050000}"/>
    <cellStyle name="Title 2 12" xfId="1623" xr:uid="{00000000-0005-0000-0000-000057060000}"/>
    <cellStyle name="Title 2 13" xfId="1748" xr:uid="{00000000-0005-0000-0000-0000D4060000}"/>
    <cellStyle name="Title 2 14" xfId="1864" xr:uid="{00000000-0005-0000-0000-000048070000}"/>
    <cellStyle name="Title 2 15" xfId="1980" xr:uid="{00000000-0005-0000-0000-0000BC070000}"/>
    <cellStyle name="Title 2 16" xfId="2097" xr:uid="{00000000-0005-0000-0000-000031080000}"/>
    <cellStyle name="Title 2 2" xfId="319" xr:uid="{00000000-0005-0000-0000-00003F010000}"/>
    <cellStyle name="Title 2 3" xfId="504" xr:uid="{00000000-0005-0000-0000-0000F8010000}"/>
    <cellStyle name="Title 2 4" xfId="619" xr:uid="{00000000-0005-0000-0000-00006B020000}"/>
    <cellStyle name="Title 2 5" xfId="744" xr:uid="{00000000-0005-0000-0000-0000E8020000}"/>
    <cellStyle name="Title 2 6" xfId="869" xr:uid="{00000000-0005-0000-0000-000065030000}"/>
    <cellStyle name="Title 2 7" xfId="994" xr:uid="{00000000-0005-0000-0000-0000E2030000}"/>
    <cellStyle name="Title 2 8" xfId="1124" xr:uid="{00000000-0005-0000-0000-000064040000}"/>
    <cellStyle name="Title 2 9" xfId="1248" xr:uid="{00000000-0005-0000-0000-0000E0040000}"/>
    <cellStyle name="Total 2" xfId="123" xr:uid="{00000000-0005-0000-0000-00007B000000}"/>
    <cellStyle name="Total 2 10" xfId="1374" xr:uid="{00000000-0005-0000-0000-00005E050000}"/>
    <cellStyle name="Total 2 11" xfId="1499" xr:uid="{00000000-0005-0000-0000-0000DB050000}"/>
    <cellStyle name="Total 2 12" xfId="1624" xr:uid="{00000000-0005-0000-0000-000058060000}"/>
    <cellStyle name="Total 2 13" xfId="1749" xr:uid="{00000000-0005-0000-0000-0000D5060000}"/>
    <cellStyle name="Total 2 14" xfId="1865" xr:uid="{00000000-0005-0000-0000-000049070000}"/>
    <cellStyle name="Total 2 15" xfId="1981" xr:uid="{00000000-0005-0000-0000-0000BD070000}"/>
    <cellStyle name="Total 2 16" xfId="2098" xr:uid="{00000000-0005-0000-0000-000032080000}"/>
    <cellStyle name="Total 2 2" xfId="320" xr:uid="{00000000-0005-0000-0000-000040010000}"/>
    <cellStyle name="Total 2 3" xfId="505" xr:uid="{00000000-0005-0000-0000-0000F9010000}"/>
    <cellStyle name="Total 2 4" xfId="620" xr:uid="{00000000-0005-0000-0000-00006C020000}"/>
    <cellStyle name="Total 2 5" xfId="745" xr:uid="{00000000-0005-0000-0000-0000E9020000}"/>
    <cellStyle name="Total 2 6" xfId="870" xr:uid="{00000000-0005-0000-0000-000066030000}"/>
    <cellStyle name="Total 2 7" xfId="995" xr:uid="{00000000-0005-0000-0000-0000E3030000}"/>
    <cellStyle name="Total 2 8" xfId="1125" xr:uid="{00000000-0005-0000-0000-000065040000}"/>
    <cellStyle name="Total 2 9" xfId="1249" xr:uid="{00000000-0005-0000-0000-0000E1040000}"/>
    <cellStyle name="Warning Text 2" xfId="124" xr:uid="{00000000-0005-0000-0000-00007C000000}"/>
    <cellStyle name="Warning Text 2 10" xfId="1375" xr:uid="{00000000-0005-0000-0000-00005F050000}"/>
    <cellStyle name="Warning Text 2 11" xfId="1500" xr:uid="{00000000-0005-0000-0000-0000DC050000}"/>
    <cellStyle name="Warning Text 2 12" xfId="1625" xr:uid="{00000000-0005-0000-0000-000059060000}"/>
    <cellStyle name="Warning Text 2 13" xfId="1750" xr:uid="{00000000-0005-0000-0000-0000D6060000}"/>
    <cellStyle name="Warning Text 2 14" xfId="1866" xr:uid="{00000000-0005-0000-0000-00004A070000}"/>
    <cellStyle name="Warning Text 2 15" xfId="1982" xr:uid="{00000000-0005-0000-0000-0000BE070000}"/>
    <cellStyle name="Warning Text 2 16" xfId="2099" xr:uid="{00000000-0005-0000-0000-000033080000}"/>
    <cellStyle name="Warning Text 2 2" xfId="321" xr:uid="{00000000-0005-0000-0000-000041010000}"/>
    <cellStyle name="Warning Text 2 3" xfId="506" xr:uid="{00000000-0005-0000-0000-0000FA010000}"/>
    <cellStyle name="Warning Text 2 4" xfId="621" xr:uid="{00000000-0005-0000-0000-00006D020000}"/>
    <cellStyle name="Warning Text 2 5" xfId="746" xr:uid="{00000000-0005-0000-0000-0000EA020000}"/>
    <cellStyle name="Warning Text 2 6" xfId="871" xr:uid="{00000000-0005-0000-0000-000067030000}"/>
    <cellStyle name="Warning Text 2 7" xfId="996" xr:uid="{00000000-0005-0000-0000-0000E4030000}"/>
    <cellStyle name="Warning Text 2 8" xfId="1126" xr:uid="{00000000-0005-0000-0000-000066040000}"/>
    <cellStyle name="Warning Text 2 9" xfId="1250" xr:uid="{00000000-0005-0000-0000-0000E2040000}"/>
    <cellStyle name="เซลล์ตรวจสอบ" xfId="125" xr:uid="{00000000-0005-0000-0000-00007D000000}"/>
    <cellStyle name="เซลล์ตรวจสอบ 10" xfId="1376" xr:uid="{00000000-0005-0000-0000-000060050000}"/>
    <cellStyle name="เซลล์ตรวจสอบ 11" xfId="1501" xr:uid="{00000000-0005-0000-0000-0000DD050000}"/>
    <cellStyle name="เซลล์ตรวจสอบ 12" xfId="1626" xr:uid="{00000000-0005-0000-0000-00005A060000}"/>
    <cellStyle name="เซลล์ตรวจสอบ 13" xfId="1751" xr:uid="{00000000-0005-0000-0000-0000D7060000}"/>
    <cellStyle name="เซลล์ตรวจสอบ 14" xfId="1867" xr:uid="{00000000-0005-0000-0000-00004B070000}"/>
    <cellStyle name="เซลล์ตรวจสอบ 15" xfId="1983" xr:uid="{00000000-0005-0000-0000-0000BF070000}"/>
    <cellStyle name="เซลล์ตรวจสอบ 16" xfId="2100" xr:uid="{00000000-0005-0000-0000-000034080000}"/>
    <cellStyle name="เซลล์ตรวจสอบ 2" xfId="322" xr:uid="{00000000-0005-0000-0000-000042010000}"/>
    <cellStyle name="เซลล์ตรวจสอบ 3" xfId="507" xr:uid="{00000000-0005-0000-0000-0000FB010000}"/>
    <cellStyle name="เซลล์ตรวจสอบ 4" xfId="622" xr:uid="{00000000-0005-0000-0000-00006E020000}"/>
    <cellStyle name="เซลล์ตรวจสอบ 5" xfId="747" xr:uid="{00000000-0005-0000-0000-0000EB020000}"/>
    <cellStyle name="เซลล์ตรวจสอบ 6" xfId="872" xr:uid="{00000000-0005-0000-0000-000068030000}"/>
    <cellStyle name="เซลล์ตรวจสอบ 7" xfId="997" xr:uid="{00000000-0005-0000-0000-0000E5030000}"/>
    <cellStyle name="เซลล์ตรวจสอบ 8" xfId="1127" xr:uid="{00000000-0005-0000-0000-000067040000}"/>
    <cellStyle name="เซลล์ตรวจสอบ 9" xfId="1251" xr:uid="{00000000-0005-0000-0000-0000E3040000}"/>
    <cellStyle name="เซลล์ที่มีการเชื่อมโยง" xfId="126" xr:uid="{00000000-0005-0000-0000-00007E000000}"/>
    <cellStyle name="เซลล์ที่มีการเชื่อมโยง 10" xfId="1377" xr:uid="{00000000-0005-0000-0000-000061050000}"/>
    <cellStyle name="เซลล์ที่มีการเชื่อมโยง 11" xfId="1502" xr:uid="{00000000-0005-0000-0000-0000DE050000}"/>
    <cellStyle name="เซลล์ที่มีการเชื่อมโยง 12" xfId="1627" xr:uid="{00000000-0005-0000-0000-00005B060000}"/>
    <cellStyle name="เซลล์ที่มีการเชื่อมโยง 13" xfId="1752" xr:uid="{00000000-0005-0000-0000-0000D8060000}"/>
    <cellStyle name="เซลล์ที่มีการเชื่อมโยง 14" xfId="1868" xr:uid="{00000000-0005-0000-0000-00004C070000}"/>
    <cellStyle name="เซลล์ที่มีการเชื่อมโยง 15" xfId="1984" xr:uid="{00000000-0005-0000-0000-0000C0070000}"/>
    <cellStyle name="เซลล์ที่มีการเชื่อมโยง 16" xfId="2101" xr:uid="{00000000-0005-0000-0000-000035080000}"/>
    <cellStyle name="เซลล์ที่มีการเชื่อมโยง 2" xfId="323" xr:uid="{00000000-0005-0000-0000-000043010000}"/>
    <cellStyle name="เซลล์ที่มีการเชื่อมโยง 3" xfId="508" xr:uid="{00000000-0005-0000-0000-0000FC010000}"/>
    <cellStyle name="เซลล์ที่มีการเชื่อมโยง 4" xfId="623" xr:uid="{00000000-0005-0000-0000-00006F020000}"/>
    <cellStyle name="เซลล์ที่มีการเชื่อมโยง 5" xfId="748" xr:uid="{00000000-0005-0000-0000-0000EC020000}"/>
    <cellStyle name="เซลล์ที่มีการเชื่อมโยง 6" xfId="873" xr:uid="{00000000-0005-0000-0000-000069030000}"/>
    <cellStyle name="เซลล์ที่มีการเชื่อมโยง 7" xfId="998" xr:uid="{00000000-0005-0000-0000-0000E6030000}"/>
    <cellStyle name="เซลล์ที่มีการเชื่อมโยง 8" xfId="1128" xr:uid="{00000000-0005-0000-0000-000068040000}"/>
    <cellStyle name="เซลล์ที่มีการเชื่อมโยง 9" xfId="1252" xr:uid="{00000000-0005-0000-0000-0000E4040000}"/>
    <cellStyle name="แย่" xfId="127" xr:uid="{00000000-0005-0000-0000-00007F000000}"/>
    <cellStyle name="แย่ 10" xfId="1378" xr:uid="{00000000-0005-0000-0000-000062050000}"/>
    <cellStyle name="แย่ 11" xfId="1503" xr:uid="{00000000-0005-0000-0000-0000DF050000}"/>
    <cellStyle name="แย่ 12" xfId="1628" xr:uid="{00000000-0005-0000-0000-00005C060000}"/>
    <cellStyle name="แย่ 13" xfId="1753" xr:uid="{00000000-0005-0000-0000-0000D9060000}"/>
    <cellStyle name="แย่ 14" xfId="1869" xr:uid="{00000000-0005-0000-0000-00004D070000}"/>
    <cellStyle name="แย่ 15" xfId="1985" xr:uid="{00000000-0005-0000-0000-0000C1070000}"/>
    <cellStyle name="แย่ 16" xfId="2102" xr:uid="{00000000-0005-0000-0000-000036080000}"/>
    <cellStyle name="แย่ 2" xfId="324" xr:uid="{00000000-0005-0000-0000-000044010000}"/>
    <cellStyle name="แย่ 3" xfId="509" xr:uid="{00000000-0005-0000-0000-0000FD010000}"/>
    <cellStyle name="แย่ 4" xfId="624" xr:uid="{00000000-0005-0000-0000-000070020000}"/>
    <cellStyle name="แย่ 5" xfId="749" xr:uid="{00000000-0005-0000-0000-0000ED020000}"/>
    <cellStyle name="แย่ 6" xfId="874" xr:uid="{00000000-0005-0000-0000-00006A030000}"/>
    <cellStyle name="แย่ 7" xfId="999" xr:uid="{00000000-0005-0000-0000-0000E7030000}"/>
    <cellStyle name="แย่ 8" xfId="1129" xr:uid="{00000000-0005-0000-0000-000069040000}"/>
    <cellStyle name="แย่ 9" xfId="1253" xr:uid="{00000000-0005-0000-0000-0000E5040000}"/>
    <cellStyle name="แสดงผล" xfId="128" xr:uid="{00000000-0005-0000-0000-000080000000}"/>
    <cellStyle name="แสดงผล 10" xfId="430" xr:uid="{00000000-0005-0000-0000-0000AE010000}"/>
    <cellStyle name="แสดงผล 11" xfId="510" xr:uid="{00000000-0005-0000-0000-0000FE010000}"/>
    <cellStyle name="แสดงผล 12" xfId="625" xr:uid="{00000000-0005-0000-0000-000071020000}"/>
    <cellStyle name="แสดงผล 13" xfId="666" xr:uid="{00000000-0005-0000-0000-00009A020000}"/>
    <cellStyle name="แสดงผล 14" xfId="750" xr:uid="{00000000-0005-0000-0000-0000EE020000}"/>
    <cellStyle name="แสดงผล 15" xfId="791" xr:uid="{00000000-0005-0000-0000-000017030000}"/>
    <cellStyle name="แสดงผล 16" xfId="875" xr:uid="{00000000-0005-0000-0000-00006B030000}"/>
    <cellStyle name="แสดงผล 17" xfId="916" xr:uid="{00000000-0005-0000-0000-000094030000}"/>
    <cellStyle name="แสดงผล 18" xfId="1000" xr:uid="{00000000-0005-0000-0000-0000E8030000}"/>
    <cellStyle name="แสดงผล 19" xfId="1038" xr:uid="{00000000-0005-0000-0000-00000E040000}"/>
    <cellStyle name="แสดงผล 2" xfId="241" xr:uid="{00000000-0005-0000-0000-0000F1000000}"/>
    <cellStyle name="แสดงผล 20" xfId="1046" xr:uid="{00000000-0005-0000-0000-000016040000}"/>
    <cellStyle name="แสดงผล 21" xfId="1130" xr:uid="{00000000-0005-0000-0000-00006A040000}"/>
    <cellStyle name="แสดงผล 22" xfId="1170" xr:uid="{00000000-0005-0000-0000-000092040000}"/>
    <cellStyle name="แสดงผล 23" xfId="1254" xr:uid="{00000000-0005-0000-0000-0000E6040000}"/>
    <cellStyle name="แสดงผล 24" xfId="1295" xr:uid="{00000000-0005-0000-0000-00000F050000}"/>
    <cellStyle name="แสดงผล 25" xfId="1379" xr:uid="{00000000-0005-0000-0000-000063050000}"/>
    <cellStyle name="แสดงผล 26" xfId="1420" xr:uid="{00000000-0005-0000-0000-00008C050000}"/>
    <cellStyle name="แสดงผล 27" xfId="1504" xr:uid="{00000000-0005-0000-0000-0000E0050000}"/>
    <cellStyle name="แสดงผล 28" xfId="1545" xr:uid="{00000000-0005-0000-0000-000009060000}"/>
    <cellStyle name="แสดงผล 29" xfId="1629" xr:uid="{00000000-0005-0000-0000-00005D060000}"/>
    <cellStyle name="แสดงผล 3" xfId="325" xr:uid="{00000000-0005-0000-0000-000045010000}"/>
    <cellStyle name="แสดงผล 30" xfId="1670" xr:uid="{00000000-0005-0000-0000-000086060000}"/>
    <cellStyle name="แสดงผล 31" xfId="1754" xr:uid="{00000000-0005-0000-0000-0000DA060000}"/>
    <cellStyle name="แสดงผล 32" xfId="1870" xr:uid="{00000000-0005-0000-0000-00004E070000}"/>
    <cellStyle name="แสดงผล 33" xfId="1986" xr:uid="{00000000-0005-0000-0000-0000C2070000}"/>
    <cellStyle name="แสดงผล 34" xfId="2103" xr:uid="{00000000-0005-0000-0000-000037080000}"/>
    <cellStyle name="แสดงผล 4" xfId="380" xr:uid="{00000000-0005-0000-0000-00007C010000}"/>
    <cellStyle name="แสดงผล 5" xfId="387" xr:uid="{00000000-0005-0000-0000-000083010000}"/>
    <cellStyle name="แสดงผล 6" xfId="392" xr:uid="{00000000-0005-0000-0000-000088010000}"/>
    <cellStyle name="แสดงผล 7" xfId="407" xr:uid="{00000000-0005-0000-0000-000097010000}"/>
    <cellStyle name="แสดงผล 8" xfId="403" xr:uid="{00000000-0005-0000-0000-000093010000}"/>
    <cellStyle name="แสดงผล 9" xfId="378" xr:uid="{00000000-0005-0000-0000-00007A010000}"/>
    <cellStyle name="การคำนวณ" xfId="129" xr:uid="{00000000-0005-0000-0000-000081000000}"/>
    <cellStyle name="การคำนวณ 10" xfId="413" xr:uid="{00000000-0005-0000-0000-00009D010000}"/>
    <cellStyle name="การคำนวณ 11" xfId="511" xr:uid="{00000000-0005-0000-0000-0000FF010000}"/>
    <cellStyle name="การคำนวณ 12" xfId="626" xr:uid="{00000000-0005-0000-0000-000072020000}"/>
    <cellStyle name="การคำนวณ 13" xfId="667" xr:uid="{00000000-0005-0000-0000-00009B020000}"/>
    <cellStyle name="การคำนวณ 14" xfId="751" xr:uid="{00000000-0005-0000-0000-0000EF020000}"/>
    <cellStyle name="การคำนวณ 15" xfId="792" xr:uid="{00000000-0005-0000-0000-000018030000}"/>
    <cellStyle name="การคำนวณ 16" xfId="876" xr:uid="{00000000-0005-0000-0000-00006C030000}"/>
    <cellStyle name="การคำนวณ 17" xfId="917" xr:uid="{00000000-0005-0000-0000-000095030000}"/>
    <cellStyle name="การคำนวณ 18" xfId="1001" xr:uid="{00000000-0005-0000-0000-0000E9030000}"/>
    <cellStyle name="การคำนวณ 19" xfId="1047" xr:uid="{00000000-0005-0000-0000-000017040000}"/>
    <cellStyle name="การคำนวณ 2" xfId="242" xr:uid="{00000000-0005-0000-0000-0000F2000000}"/>
    <cellStyle name="การคำนวณ 20" xfId="1131" xr:uid="{00000000-0005-0000-0000-00006B040000}"/>
    <cellStyle name="การคำนวณ 21" xfId="1171" xr:uid="{00000000-0005-0000-0000-000093040000}"/>
    <cellStyle name="การคำนวณ 22" xfId="1255" xr:uid="{00000000-0005-0000-0000-0000E7040000}"/>
    <cellStyle name="การคำนวณ 23" xfId="1296" xr:uid="{00000000-0005-0000-0000-000010050000}"/>
    <cellStyle name="การคำนวณ 24" xfId="1380" xr:uid="{00000000-0005-0000-0000-000064050000}"/>
    <cellStyle name="การคำนวณ 25" xfId="1421" xr:uid="{00000000-0005-0000-0000-00008D050000}"/>
    <cellStyle name="การคำนวณ 26" xfId="1505" xr:uid="{00000000-0005-0000-0000-0000E1050000}"/>
    <cellStyle name="การคำนวณ 27" xfId="1546" xr:uid="{00000000-0005-0000-0000-00000A060000}"/>
    <cellStyle name="การคำนวณ 28" xfId="1630" xr:uid="{00000000-0005-0000-0000-00005E060000}"/>
    <cellStyle name="การคำนวณ 29" xfId="1671" xr:uid="{00000000-0005-0000-0000-000087060000}"/>
    <cellStyle name="การคำนวณ 3" xfId="326" xr:uid="{00000000-0005-0000-0000-000046010000}"/>
    <cellStyle name="การคำนวณ 30" xfId="1755" xr:uid="{00000000-0005-0000-0000-0000DB060000}"/>
    <cellStyle name="การคำนวณ 31" xfId="1871" xr:uid="{00000000-0005-0000-0000-00004F070000}"/>
    <cellStyle name="การคำนวณ 32" xfId="1987" xr:uid="{00000000-0005-0000-0000-0000C3070000}"/>
    <cellStyle name="การคำนวณ 33" xfId="2104" xr:uid="{00000000-0005-0000-0000-000038080000}"/>
    <cellStyle name="การคำนวณ 4" xfId="381" xr:uid="{00000000-0005-0000-0000-00007D010000}"/>
    <cellStyle name="การคำนวณ 5" xfId="389" xr:uid="{00000000-0005-0000-0000-000085010000}"/>
    <cellStyle name="การคำนวณ 6" xfId="363" xr:uid="{00000000-0005-0000-0000-00006B010000}"/>
    <cellStyle name="การคำนวณ 7" xfId="408" xr:uid="{00000000-0005-0000-0000-000098010000}"/>
    <cellStyle name="การคำนวณ 8" xfId="402" xr:uid="{00000000-0005-0000-0000-000092010000}"/>
    <cellStyle name="การคำนวณ 9" xfId="417" xr:uid="{00000000-0005-0000-0000-0000A1010000}"/>
    <cellStyle name="ข้อความเตือน" xfId="130" xr:uid="{00000000-0005-0000-0000-000082000000}"/>
    <cellStyle name="ข้อความเตือน 10" xfId="1381" xr:uid="{00000000-0005-0000-0000-000065050000}"/>
    <cellStyle name="ข้อความเตือน 11" xfId="1506" xr:uid="{00000000-0005-0000-0000-0000E2050000}"/>
    <cellStyle name="ข้อความเตือน 12" xfId="1631" xr:uid="{00000000-0005-0000-0000-00005F060000}"/>
    <cellStyle name="ข้อความเตือน 13" xfId="1756" xr:uid="{00000000-0005-0000-0000-0000DC060000}"/>
    <cellStyle name="ข้อความเตือน 14" xfId="1872" xr:uid="{00000000-0005-0000-0000-000050070000}"/>
    <cellStyle name="ข้อความเตือน 15" xfId="1988" xr:uid="{00000000-0005-0000-0000-0000C4070000}"/>
    <cellStyle name="ข้อความเตือน 16" xfId="2105" xr:uid="{00000000-0005-0000-0000-000039080000}"/>
    <cellStyle name="ข้อความเตือน 2" xfId="327" xr:uid="{00000000-0005-0000-0000-000047010000}"/>
    <cellStyle name="ข้อความเตือน 3" xfId="512" xr:uid="{00000000-0005-0000-0000-000000020000}"/>
    <cellStyle name="ข้อความเตือน 4" xfId="627" xr:uid="{00000000-0005-0000-0000-000073020000}"/>
    <cellStyle name="ข้อความเตือน 5" xfId="752" xr:uid="{00000000-0005-0000-0000-0000F0020000}"/>
    <cellStyle name="ข้อความเตือน 6" xfId="877" xr:uid="{00000000-0005-0000-0000-00006D030000}"/>
    <cellStyle name="ข้อความเตือน 7" xfId="1002" xr:uid="{00000000-0005-0000-0000-0000EA030000}"/>
    <cellStyle name="ข้อความเตือน 8" xfId="1132" xr:uid="{00000000-0005-0000-0000-00006C040000}"/>
    <cellStyle name="ข้อความเตือน 9" xfId="1256" xr:uid="{00000000-0005-0000-0000-0000E8040000}"/>
    <cellStyle name="ข้อความอธิบาย" xfId="131" xr:uid="{00000000-0005-0000-0000-000083000000}"/>
    <cellStyle name="ข้อความอธิบาย 10" xfId="1382" xr:uid="{00000000-0005-0000-0000-000066050000}"/>
    <cellStyle name="ข้อความอธิบาย 11" xfId="1507" xr:uid="{00000000-0005-0000-0000-0000E3050000}"/>
    <cellStyle name="ข้อความอธิบาย 12" xfId="1632" xr:uid="{00000000-0005-0000-0000-000060060000}"/>
    <cellStyle name="ข้อความอธิบาย 13" xfId="1757" xr:uid="{00000000-0005-0000-0000-0000DD060000}"/>
    <cellStyle name="ข้อความอธิบาย 14" xfId="1873" xr:uid="{00000000-0005-0000-0000-000051070000}"/>
    <cellStyle name="ข้อความอธิบาย 15" xfId="1989" xr:uid="{00000000-0005-0000-0000-0000C5070000}"/>
    <cellStyle name="ข้อความอธิบาย 16" xfId="2106" xr:uid="{00000000-0005-0000-0000-00003A080000}"/>
    <cellStyle name="ข้อความอธิบาย 2" xfId="328" xr:uid="{00000000-0005-0000-0000-000048010000}"/>
    <cellStyle name="ข้อความอธิบาย 3" xfId="513" xr:uid="{00000000-0005-0000-0000-000001020000}"/>
    <cellStyle name="ข้อความอธิบาย 4" xfId="628" xr:uid="{00000000-0005-0000-0000-000074020000}"/>
    <cellStyle name="ข้อความอธิบาย 5" xfId="753" xr:uid="{00000000-0005-0000-0000-0000F1020000}"/>
    <cellStyle name="ข้อความอธิบาย 6" xfId="878" xr:uid="{00000000-0005-0000-0000-00006E030000}"/>
    <cellStyle name="ข้อความอธิบาย 7" xfId="1003" xr:uid="{00000000-0005-0000-0000-0000EB030000}"/>
    <cellStyle name="ข้อความอธิบาย 8" xfId="1133" xr:uid="{00000000-0005-0000-0000-00006D040000}"/>
    <cellStyle name="ข้อความอธิบาย 9" xfId="1257" xr:uid="{00000000-0005-0000-0000-0000E9040000}"/>
    <cellStyle name="ชื่อเรื่อง" xfId="132" xr:uid="{00000000-0005-0000-0000-000084000000}"/>
    <cellStyle name="ชื่อเรื่อง 10" xfId="1383" xr:uid="{00000000-0005-0000-0000-000067050000}"/>
    <cellStyle name="ชื่อเรื่อง 11" xfId="1508" xr:uid="{00000000-0005-0000-0000-0000E4050000}"/>
    <cellStyle name="ชื่อเรื่อง 12" xfId="1633" xr:uid="{00000000-0005-0000-0000-000061060000}"/>
    <cellStyle name="ชื่อเรื่อง 13" xfId="1758" xr:uid="{00000000-0005-0000-0000-0000DE060000}"/>
    <cellStyle name="ชื่อเรื่อง 14" xfId="1874" xr:uid="{00000000-0005-0000-0000-000052070000}"/>
    <cellStyle name="ชื่อเรื่อง 15" xfId="1990" xr:uid="{00000000-0005-0000-0000-0000C6070000}"/>
    <cellStyle name="ชื่อเรื่อง 16" xfId="2107" xr:uid="{00000000-0005-0000-0000-00003B080000}"/>
    <cellStyle name="ชื่อเรื่อง 2" xfId="329" xr:uid="{00000000-0005-0000-0000-000049010000}"/>
    <cellStyle name="ชื่อเรื่อง 3" xfId="514" xr:uid="{00000000-0005-0000-0000-000002020000}"/>
    <cellStyle name="ชื่อเรื่อง 4" xfId="629" xr:uid="{00000000-0005-0000-0000-000075020000}"/>
    <cellStyle name="ชื่อเรื่อง 5" xfId="754" xr:uid="{00000000-0005-0000-0000-0000F2020000}"/>
    <cellStyle name="ชื่อเรื่อง 6" xfId="879" xr:uid="{00000000-0005-0000-0000-00006F030000}"/>
    <cellStyle name="ชื่อเรื่อง 7" xfId="1004" xr:uid="{00000000-0005-0000-0000-0000EC030000}"/>
    <cellStyle name="ชื่อเรื่อง 8" xfId="1134" xr:uid="{00000000-0005-0000-0000-00006E040000}"/>
    <cellStyle name="ชื่อเรื่อง 9" xfId="1258" xr:uid="{00000000-0005-0000-0000-0000EA040000}"/>
    <cellStyle name="ดี" xfId="133" xr:uid="{00000000-0005-0000-0000-000085000000}"/>
    <cellStyle name="ดี 10" xfId="1384" xr:uid="{00000000-0005-0000-0000-000068050000}"/>
    <cellStyle name="ดี 11" xfId="1509" xr:uid="{00000000-0005-0000-0000-0000E5050000}"/>
    <cellStyle name="ดี 12" xfId="1634" xr:uid="{00000000-0005-0000-0000-000062060000}"/>
    <cellStyle name="ดี 13" xfId="1759" xr:uid="{00000000-0005-0000-0000-0000DF060000}"/>
    <cellStyle name="ดี 14" xfId="1875" xr:uid="{00000000-0005-0000-0000-000053070000}"/>
    <cellStyle name="ดี 15" xfId="1991" xr:uid="{00000000-0005-0000-0000-0000C7070000}"/>
    <cellStyle name="ดี 16" xfId="2108" xr:uid="{00000000-0005-0000-0000-00003C080000}"/>
    <cellStyle name="ดี 2" xfId="330" xr:uid="{00000000-0005-0000-0000-00004A010000}"/>
    <cellStyle name="ดี 3" xfId="515" xr:uid="{00000000-0005-0000-0000-000003020000}"/>
    <cellStyle name="ดี 4" xfId="630" xr:uid="{00000000-0005-0000-0000-000076020000}"/>
    <cellStyle name="ดี 5" xfId="755" xr:uid="{00000000-0005-0000-0000-0000F3020000}"/>
    <cellStyle name="ดี 6" xfId="880" xr:uid="{00000000-0005-0000-0000-000070030000}"/>
    <cellStyle name="ดี 7" xfId="1005" xr:uid="{00000000-0005-0000-0000-0000ED030000}"/>
    <cellStyle name="ดี 8" xfId="1135" xr:uid="{00000000-0005-0000-0000-00006F040000}"/>
    <cellStyle name="ดี 9" xfId="1259" xr:uid="{00000000-0005-0000-0000-0000EB040000}"/>
    <cellStyle name="ปกติ_INVEN-06" xfId="134" xr:uid="{00000000-0005-0000-0000-000086000000}"/>
    <cellStyle name="ป้อนค่า" xfId="135" xr:uid="{00000000-0005-0000-0000-000087000000}"/>
    <cellStyle name="ป้อนค่า 10" xfId="428" xr:uid="{00000000-0005-0000-0000-0000AC010000}"/>
    <cellStyle name="ป้อนค่า 11" xfId="516" xr:uid="{00000000-0005-0000-0000-000004020000}"/>
    <cellStyle name="ป้อนค่า 12" xfId="631" xr:uid="{00000000-0005-0000-0000-000077020000}"/>
    <cellStyle name="ป้อนค่า 13" xfId="668" xr:uid="{00000000-0005-0000-0000-00009C020000}"/>
    <cellStyle name="ป้อนค่า 14" xfId="756" xr:uid="{00000000-0005-0000-0000-0000F4020000}"/>
    <cellStyle name="ป้อนค่า 15" xfId="793" xr:uid="{00000000-0005-0000-0000-000019030000}"/>
    <cellStyle name="ป้อนค่า 16" xfId="881" xr:uid="{00000000-0005-0000-0000-000071030000}"/>
    <cellStyle name="ป้อนค่า 17" xfId="918" xr:uid="{00000000-0005-0000-0000-000096030000}"/>
    <cellStyle name="ป้อนค่า 18" xfId="1006" xr:uid="{00000000-0005-0000-0000-0000EE030000}"/>
    <cellStyle name="ป้อนค่า 19" xfId="1048" xr:uid="{00000000-0005-0000-0000-000018040000}"/>
    <cellStyle name="ป้อนค่า 2" xfId="243" xr:uid="{00000000-0005-0000-0000-0000F3000000}"/>
    <cellStyle name="ป้อนค่า 20" xfId="1136" xr:uid="{00000000-0005-0000-0000-000070040000}"/>
    <cellStyle name="ป้อนค่า 21" xfId="1172" xr:uid="{00000000-0005-0000-0000-000094040000}"/>
    <cellStyle name="ป้อนค่า 22" xfId="1260" xr:uid="{00000000-0005-0000-0000-0000EC040000}"/>
    <cellStyle name="ป้อนค่า 23" xfId="1297" xr:uid="{00000000-0005-0000-0000-000011050000}"/>
    <cellStyle name="ป้อนค่า 24" xfId="1385" xr:uid="{00000000-0005-0000-0000-000069050000}"/>
    <cellStyle name="ป้อนค่า 25" xfId="1422" xr:uid="{00000000-0005-0000-0000-00008E050000}"/>
    <cellStyle name="ป้อนค่า 26" xfId="1510" xr:uid="{00000000-0005-0000-0000-0000E6050000}"/>
    <cellStyle name="ป้อนค่า 27" xfId="1547" xr:uid="{00000000-0005-0000-0000-00000B060000}"/>
    <cellStyle name="ป้อนค่า 28" xfId="1635" xr:uid="{00000000-0005-0000-0000-000063060000}"/>
    <cellStyle name="ป้อนค่า 29" xfId="1672" xr:uid="{00000000-0005-0000-0000-000088060000}"/>
    <cellStyle name="ป้อนค่า 3" xfId="331" xr:uid="{00000000-0005-0000-0000-00004B010000}"/>
    <cellStyle name="ป้อนค่า 30" xfId="1760" xr:uid="{00000000-0005-0000-0000-0000E0060000}"/>
    <cellStyle name="ป้อนค่า 31" xfId="1876" xr:uid="{00000000-0005-0000-0000-000054070000}"/>
    <cellStyle name="ป้อนค่า 32" xfId="1992" xr:uid="{00000000-0005-0000-0000-0000C8070000}"/>
    <cellStyle name="ป้อนค่า 33" xfId="2109" xr:uid="{00000000-0005-0000-0000-00003D080000}"/>
    <cellStyle name="ป้อนค่า 4" xfId="383" xr:uid="{00000000-0005-0000-0000-00007F010000}"/>
    <cellStyle name="ป้อนค่า 5" xfId="373" xr:uid="{00000000-0005-0000-0000-000075010000}"/>
    <cellStyle name="ป้อนค่า 6" xfId="390" xr:uid="{00000000-0005-0000-0000-000086010000}"/>
    <cellStyle name="ป้อนค่า 7" xfId="409" xr:uid="{00000000-0005-0000-0000-000099010000}"/>
    <cellStyle name="ป้อนค่า 8" xfId="404" xr:uid="{00000000-0005-0000-0000-000094010000}"/>
    <cellStyle name="ป้อนค่า 9" xfId="418" xr:uid="{00000000-0005-0000-0000-0000A2010000}"/>
    <cellStyle name="ปานกลาง" xfId="136" xr:uid="{00000000-0005-0000-0000-000088000000}"/>
    <cellStyle name="ปานกลาง 10" xfId="1386" xr:uid="{00000000-0005-0000-0000-00006A050000}"/>
    <cellStyle name="ปานกลาง 11" xfId="1511" xr:uid="{00000000-0005-0000-0000-0000E7050000}"/>
    <cellStyle name="ปานกลาง 12" xfId="1636" xr:uid="{00000000-0005-0000-0000-000064060000}"/>
    <cellStyle name="ปานกลาง 13" xfId="1761" xr:uid="{00000000-0005-0000-0000-0000E1060000}"/>
    <cellStyle name="ปานกลาง 14" xfId="1877" xr:uid="{00000000-0005-0000-0000-000055070000}"/>
    <cellStyle name="ปานกลาง 15" xfId="1993" xr:uid="{00000000-0005-0000-0000-0000C9070000}"/>
    <cellStyle name="ปานกลาง 16" xfId="2110" xr:uid="{00000000-0005-0000-0000-00003E080000}"/>
    <cellStyle name="ปานกลาง 2" xfId="332" xr:uid="{00000000-0005-0000-0000-00004C010000}"/>
    <cellStyle name="ปานกลาง 3" xfId="517" xr:uid="{00000000-0005-0000-0000-000005020000}"/>
    <cellStyle name="ปานกลาง 4" xfId="632" xr:uid="{00000000-0005-0000-0000-000078020000}"/>
    <cellStyle name="ปานกลาง 5" xfId="757" xr:uid="{00000000-0005-0000-0000-0000F5020000}"/>
    <cellStyle name="ปานกลาง 6" xfId="882" xr:uid="{00000000-0005-0000-0000-000072030000}"/>
    <cellStyle name="ปานกลาง 7" xfId="1007" xr:uid="{00000000-0005-0000-0000-0000EF030000}"/>
    <cellStyle name="ปานกลาง 8" xfId="1137" xr:uid="{00000000-0005-0000-0000-000071040000}"/>
    <cellStyle name="ปานกลาง 9" xfId="1261" xr:uid="{00000000-0005-0000-0000-0000ED040000}"/>
    <cellStyle name="ผลรวม" xfId="137" xr:uid="{00000000-0005-0000-0000-000089000000}"/>
    <cellStyle name="ผลรวม 10" xfId="401" xr:uid="{00000000-0005-0000-0000-000091010000}"/>
    <cellStyle name="ผลรวม 11" xfId="518" xr:uid="{00000000-0005-0000-0000-000006020000}"/>
    <cellStyle name="ผลรวม 12" xfId="633" xr:uid="{00000000-0005-0000-0000-000079020000}"/>
    <cellStyle name="ผลรวม 13" xfId="669" xr:uid="{00000000-0005-0000-0000-00009D020000}"/>
    <cellStyle name="ผลรวม 14" xfId="758" xr:uid="{00000000-0005-0000-0000-0000F6020000}"/>
    <cellStyle name="ผลรวม 15" xfId="794" xr:uid="{00000000-0005-0000-0000-00001A030000}"/>
    <cellStyle name="ผลรวม 16" xfId="883" xr:uid="{00000000-0005-0000-0000-000073030000}"/>
    <cellStyle name="ผลรวม 17" xfId="919" xr:uid="{00000000-0005-0000-0000-000097030000}"/>
    <cellStyle name="ผลรวม 18" xfId="1008" xr:uid="{00000000-0005-0000-0000-0000F0030000}"/>
    <cellStyle name="ผลรวม 19" xfId="1039" xr:uid="{00000000-0005-0000-0000-00000F040000}"/>
    <cellStyle name="ผลรวม 2" xfId="244" xr:uid="{00000000-0005-0000-0000-0000F4000000}"/>
    <cellStyle name="ผลรวม 20" xfId="1049" xr:uid="{00000000-0005-0000-0000-000019040000}"/>
    <cellStyle name="ผลรวม 21" xfId="1138" xr:uid="{00000000-0005-0000-0000-000072040000}"/>
    <cellStyle name="ผลรวม 22" xfId="1173" xr:uid="{00000000-0005-0000-0000-000095040000}"/>
    <cellStyle name="ผลรวม 23" xfId="1262" xr:uid="{00000000-0005-0000-0000-0000EE040000}"/>
    <cellStyle name="ผลรวม 24" xfId="1298" xr:uid="{00000000-0005-0000-0000-000012050000}"/>
    <cellStyle name="ผลรวม 25" xfId="1387" xr:uid="{00000000-0005-0000-0000-00006B050000}"/>
    <cellStyle name="ผลรวม 26" xfId="1423" xr:uid="{00000000-0005-0000-0000-00008F050000}"/>
    <cellStyle name="ผลรวม 27" xfId="1512" xr:uid="{00000000-0005-0000-0000-0000E8050000}"/>
    <cellStyle name="ผลรวม 28" xfId="1548" xr:uid="{00000000-0005-0000-0000-00000C060000}"/>
    <cellStyle name="ผลรวม 29" xfId="1637" xr:uid="{00000000-0005-0000-0000-000065060000}"/>
    <cellStyle name="ผลรวม 3" xfId="333" xr:uid="{00000000-0005-0000-0000-00004D010000}"/>
    <cellStyle name="ผลรวม 30" xfId="1673" xr:uid="{00000000-0005-0000-0000-000089060000}"/>
    <cellStyle name="ผลรวม 31" xfId="1762" xr:uid="{00000000-0005-0000-0000-0000E2060000}"/>
    <cellStyle name="ผลรวม 32" xfId="1878" xr:uid="{00000000-0005-0000-0000-000056070000}"/>
    <cellStyle name="ผลรวม 33" xfId="1994" xr:uid="{00000000-0005-0000-0000-0000CA070000}"/>
    <cellStyle name="ผลรวม 34" xfId="2111" xr:uid="{00000000-0005-0000-0000-00003F080000}"/>
    <cellStyle name="ผลรวม 4" xfId="384" xr:uid="{00000000-0005-0000-0000-000080010000}"/>
    <cellStyle name="ผลรวม 5" xfId="374" xr:uid="{00000000-0005-0000-0000-000076010000}"/>
    <cellStyle name="ผลรวม 6" xfId="366" xr:uid="{00000000-0005-0000-0000-00006E010000}"/>
    <cellStyle name="ผลรวม 7" xfId="410" xr:uid="{00000000-0005-0000-0000-00009A010000}"/>
    <cellStyle name="ผลรวม 8" xfId="397" xr:uid="{00000000-0005-0000-0000-00008D010000}"/>
    <cellStyle name="ผลรวม 9" xfId="419" xr:uid="{00000000-0005-0000-0000-0000A3010000}"/>
    <cellStyle name="ส่วนที่ถูกเน้น1" xfId="138" xr:uid="{00000000-0005-0000-0000-00008A000000}"/>
    <cellStyle name="ส่วนที่ถูกเน้น1 10" xfId="1388" xr:uid="{00000000-0005-0000-0000-00006C050000}"/>
    <cellStyle name="ส่วนที่ถูกเน้น1 11" xfId="1513" xr:uid="{00000000-0005-0000-0000-0000E9050000}"/>
    <cellStyle name="ส่วนที่ถูกเน้น1 12" xfId="1638" xr:uid="{00000000-0005-0000-0000-000066060000}"/>
    <cellStyle name="ส่วนที่ถูกเน้น1 13" xfId="1763" xr:uid="{00000000-0005-0000-0000-0000E3060000}"/>
    <cellStyle name="ส่วนที่ถูกเน้น1 14" xfId="1879" xr:uid="{00000000-0005-0000-0000-000057070000}"/>
    <cellStyle name="ส่วนที่ถูกเน้น1 15" xfId="1995" xr:uid="{00000000-0005-0000-0000-0000CB070000}"/>
    <cellStyle name="ส่วนที่ถูกเน้น1 16" xfId="2112" xr:uid="{00000000-0005-0000-0000-000040080000}"/>
    <cellStyle name="ส่วนที่ถูกเน้น1 2" xfId="334" xr:uid="{00000000-0005-0000-0000-00004E010000}"/>
    <cellStyle name="ส่วนที่ถูกเน้น1 3" xfId="519" xr:uid="{00000000-0005-0000-0000-000007020000}"/>
    <cellStyle name="ส่วนที่ถูกเน้น1 4" xfId="634" xr:uid="{00000000-0005-0000-0000-00007A020000}"/>
    <cellStyle name="ส่วนที่ถูกเน้น1 5" xfId="759" xr:uid="{00000000-0005-0000-0000-0000F7020000}"/>
    <cellStyle name="ส่วนที่ถูกเน้น1 6" xfId="884" xr:uid="{00000000-0005-0000-0000-000074030000}"/>
    <cellStyle name="ส่วนที่ถูกเน้น1 7" xfId="1009" xr:uid="{00000000-0005-0000-0000-0000F1030000}"/>
    <cellStyle name="ส่วนที่ถูกเน้น1 8" xfId="1139" xr:uid="{00000000-0005-0000-0000-000073040000}"/>
    <cellStyle name="ส่วนที่ถูกเน้น1 9" xfId="1263" xr:uid="{00000000-0005-0000-0000-0000EF040000}"/>
    <cellStyle name="ส่วนที่ถูกเน้น2" xfId="139" xr:uid="{00000000-0005-0000-0000-00008B000000}"/>
    <cellStyle name="ส่วนที่ถูกเน้น2 10" xfId="1389" xr:uid="{00000000-0005-0000-0000-00006D050000}"/>
    <cellStyle name="ส่วนที่ถูกเน้น2 11" xfId="1514" xr:uid="{00000000-0005-0000-0000-0000EA050000}"/>
    <cellStyle name="ส่วนที่ถูกเน้น2 12" xfId="1639" xr:uid="{00000000-0005-0000-0000-000067060000}"/>
    <cellStyle name="ส่วนที่ถูกเน้น2 13" xfId="1764" xr:uid="{00000000-0005-0000-0000-0000E4060000}"/>
    <cellStyle name="ส่วนที่ถูกเน้น2 14" xfId="1880" xr:uid="{00000000-0005-0000-0000-000058070000}"/>
    <cellStyle name="ส่วนที่ถูกเน้น2 15" xfId="1996" xr:uid="{00000000-0005-0000-0000-0000CC070000}"/>
    <cellStyle name="ส่วนที่ถูกเน้น2 16" xfId="2113" xr:uid="{00000000-0005-0000-0000-000041080000}"/>
    <cellStyle name="ส่วนที่ถูกเน้น2 2" xfId="335" xr:uid="{00000000-0005-0000-0000-00004F010000}"/>
    <cellStyle name="ส่วนที่ถูกเน้น2 3" xfId="520" xr:uid="{00000000-0005-0000-0000-000008020000}"/>
    <cellStyle name="ส่วนที่ถูกเน้น2 4" xfId="635" xr:uid="{00000000-0005-0000-0000-00007B020000}"/>
    <cellStyle name="ส่วนที่ถูกเน้น2 5" xfId="760" xr:uid="{00000000-0005-0000-0000-0000F8020000}"/>
    <cellStyle name="ส่วนที่ถูกเน้น2 6" xfId="885" xr:uid="{00000000-0005-0000-0000-000075030000}"/>
    <cellStyle name="ส่วนที่ถูกเน้น2 7" xfId="1010" xr:uid="{00000000-0005-0000-0000-0000F2030000}"/>
    <cellStyle name="ส่วนที่ถูกเน้น2 8" xfId="1140" xr:uid="{00000000-0005-0000-0000-000074040000}"/>
    <cellStyle name="ส่วนที่ถูกเน้น2 9" xfId="1264" xr:uid="{00000000-0005-0000-0000-0000F0040000}"/>
    <cellStyle name="ส่วนที่ถูกเน้น3" xfId="140" xr:uid="{00000000-0005-0000-0000-00008C000000}"/>
    <cellStyle name="ส่วนที่ถูกเน้น3 10" xfId="1390" xr:uid="{00000000-0005-0000-0000-00006E050000}"/>
    <cellStyle name="ส่วนที่ถูกเน้น3 11" xfId="1515" xr:uid="{00000000-0005-0000-0000-0000EB050000}"/>
    <cellStyle name="ส่วนที่ถูกเน้น3 12" xfId="1640" xr:uid="{00000000-0005-0000-0000-000068060000}"/>
    <cellStyle name="ส่วนที่ถูกเน้น3 13" xfId="1765" xr:uid="{00000000-0005-0000-0000-0000E5060000}"/>
    <cellStyle name="ส่วนที่ถูกเน้น3 14" xfId="1881" xr:uid="{00000000-0005-0000-0000-000059070000}"/>
    <cellStyle name="ส่วนที่ถูกเน้น3 15" xfId="1997" xr:uid="{00000000-0005-0000-0000-0000CD070000}"/>
    <cellStyle name="ส่วนที่ถูกเน้น3 16" xfId="2114" xr:uid="{00000000-0005-0000-0000-000042080000}"/>
    <cellStyle name="ส่วนที่ถูกเน้น3 2" xfId="336" xr:uid="{00000000-0005-0000-0000-000050010000}"/>
    <cellStyle name="ส่วนที่ถูกเน้น3 3" xfId="521" xr:uid="{00000000-0005-0000-0000-000009020000}"/>
    <cellStyle name="ส่วนที่ถูกเน้น3 4" xfId="636" xr:uid="{00000000-0005-0000-0000-00007C020000}"/>
    <cellStyle name="ส่วนที่ถูกเน้น3 5" xfId="761" xr:uid="{00000000-0005-0000-0000-0000F9020000}"/>
    <cellStyle name="ส่วนที่ถูกเน้น3 6" xfId="886" xr:uid="{00000000-0005-0000-0000-000076030000}"/>
    <cellStyle name="ส่วนที่ถูกเน้น3 7" xfId="1011" xr:uid="{00000000-0005-0000-0000-0000F3030000}"/>
    <cellStyle name="ส่วนที่ถูกเน้น3 8" xfId="1141" xr:uid="{00000000-0005-0000-0000-000075040000}"/>
    <cellStyle name="ส่วนที่ถูกเน้น3 9" xfId="1265" xr:uid="{00000000-0005-0000-0000-0000F1040000}"/>
    <cellStyle name="ส่วนที่ถูกเน้น4" xfId="141" xr:uid="{00000000-0005-0000-0000-00008D000000}"/>
    <cellStyle name="ส่วนที่ถูกเน้น4 10" xfId="1391" xr:uid="{00000000-0005-0000-0000-00006F050000}"/>
    <cellStyle name="ส่วนที่ถูกเน้น4 11" xfId="1516" xr:uid="{00000000-0005-0000-0000-0000EC050000}"/>
    <cellStyle name="ส่วนที่ถูกเน้น4 12" xfId="1641" xr:uid="{00000000-0005-0000-0000-000069060000}"/>
    <cellStyle name="ส่วนที่ถูกเน้น4 13" xfId="1766" xr:uid="{00000000-0005-0000-0000-0000E6060000}"/>
    <cellStyle name="ส่วนที่ถูกเน้น4 14" xfId="1882" xr:uid="{00000000-0005-0000-0000-00005A070000}"/>
    <cellStyle name="ส่วนที่ถูกเน้น4 15" xfId="1998" xr:uid="{00000000-0005-0000-0000-0000CE070000}"/>
    <cellStyle name="ส่วนที่ถูกเน้น4 16" xfId="2115" xr:uid="{00000000-0005-0000-0000-000043080000}"/>
    <cellStyle name="ส่วนที่ถูกเน้น4 2" xfId="337" xr:uid="{00000000-0005-0000-0000-000051010000}"/>
    <cellStyle name="ส่วนที่ถูกเน้น4 3" xfId="522" xr:uid="{00000000-0005-0000-0000-00000A020000}"/>
    <cellStyle name="ส่วนที่ถูกเน้น4 4" xfId="637" xr:uid="{00000000-0005-0000-0000-00007D020000}"/>
    <cellStyle name="ส่วนที่ถูกเน้น4 5" xfId="762" xr:uid="{00000000-0005-0000-0000-0000FA020000}"/>
    <cellStyle name="ส่วนที่ถูกเน้น4 6" xfId="887" xr:uid="{00000000-0005-0000-0000-000077030000}"/>
    <cellStyle name="ส่วนที่ถูกเน้น4 7" xfId="1012" xr:uid="{00000000-0005-0000-0000-0000F4030000}"/>
    <cellStyle name="ส่วนที่ถูกเน้น4 8" xfId="1142" xr:uid="{00000000-0005-0000-0000-000076040000}"/>
    <cellStyle name="ส่วนที่ถูกเน้น4 9" xfId="1266" xr:uid="{00000000-0005-0000-0000-0000F2040000}"/>
    <cellStyle name="ส่วนที่ถูกเน้น5" xfId="142" xr:uid="{00000000-0005-0000-0000-00008E000000}"/>
    <cellStyle name="ส่วนที่ถูกเน้น5 10" xfId="1392" xr:uid="{00000000-0005-0000-0000-000070050000}"/>
    <cellStyle name="ส่วนที่ถูกเน้น5 11" xfId="1517" xr:uid="{00000000-0005-0000-0000-0000ED050000}"/>
    <cellStyle name="ส่วนที่ถูกเน้น5 12" xfId="1642" xr:uid="{00000000-0005-0000-0000-00006A060000}"/>
    <cellStyle name="ส่วนที่ถูกเน้น5 13" xfId="1767" xr:uid="{00000000-0005-0000-0000-0000E7060000}"/>
    <cellStyle name="ส่วนที่ถูกเน้น5 14" xfId="1883" xr:uid="{00000000-0005-0000-0000-00005B070000}"/>
    <cellStyle name="ส่วนที่ถูกเน้น5 15" xfId="1999" xr:uid="{00000000-0005-0000-0000-0000CF070000}"/>
    <cellStyle name="ส่วนที่ถูกเน้น5 16" xfId="2116" xr:uid="{00000000-0005-0000-0000-000044080000}"/>
    <cellStyle name="ส่วนที่ถูกเน้น5 2" xfId="338" xr:uid="{00000000-0005-0000-0000-000052010000}"/>
    <cellStyle name="ส่วนที่ถูกเน้น5 3" xfId="523" xr:uid="{00000000-0005-0000-0000-00000B020000}"/>
    <cellStyle name="ส่วนที่ถูกเน้น5 4" xfId="638" xr:uid="{00000000-0005-0000-0000-00007E020000}"/>
    <cellStyle name="ส่วนที่ถูกเน้น5 5" xfId="763" xr:uid="{00000000-0005-0000-0000-0000FB020000}"/>
    <cellStyle name="ส่วนที่ถูกเน้น5 6" xfId="888" xr:uid="{00000000-0005-0000-0000-000078030000}"/>
    <cellStyle name="ส่วนที่ถูกเน้น5 7" xfId="1013" xr:uid="{00000000-0005-0000-0000-0000F5030000}"/>
    <cellStyle name="ส่วนที่ถูกเน้น5 8" xfId="1143" xr:uid="{00000000-0005-0000-0000-000077040000}"/>
    <cellStyle name="ส่วนที่ถูกเน้น5 9" xfId="1267" xr:uid="{00000000-0005-0000-0000-0000F3040000}"/>
    <cellStyle name="ส่วนที่ถูกเน้น6" xfId="143" xr:uid="{00000000-0005-0000-0000-00008F000000}"/>
    <cellStyle name="ส่วนที่ถูกเน้น6 10" xfId="1393" xr:uid="{00000000-0005-0000-0000-000071050000}"/>
    <cellStyle name="ส่วนที่ถูกเน้น6 11" xfId="1518" xr:uid="{00000000-0005-0000-0000-0000EE050000}"/>
    <cellStyle name="ส่วนที่ถูกเน้น6 12" xfId="1643" xr:uid="{00000000-0005-0000-0000-00006B060000}"/>
    <cellStyle name="ส่วนที่ถูกเน้น6 13" xfId="1768" xr:uid="{00000000-0005-0000-0000-0000E8060000}"/>
    <cellStyle name="ส่วนที่ถูกเน้น6 14" xfId="1884" xr:uid="{00000000-0005-0000-0000-00005C070000}"/>
    <cellStyle name="ส่วนที่ถูกเน้น6 15" xfId="2000" xr:uid="{00000000-0005-0000-0000-0000D0070000}"/>
    <cellStyle name="ส่วนที่ถูกเน้น6 16" xfId="2117" xr:uid="{00000000-0005-0000-0000-000045080000}"/>
    <cellStyle name="ส่วนที่ถูกเน้น6 2" xfId="339" xr:uid="{00000000-0005-0000-0000-000053010000}"/>
    <cellStyle name="ส่วนที่ถูกเน้น6 3" xfId="524" xr:uid="{00000000-0005-0000-0000-00000C020000}"/>
    <cellStyle name="ส่วนที่ถูกเน้น6 4" xfId="639" xr:uid="{00000000-0005-0000-0000-00007F020000}"/>
    <cellStyle name="ส่วนที่ถูกเน้น6 5" xfId="764" xr:uid="{00000000-0005-0000-0000-0000FC020000}"/>
    <cellStyle name="ส่วนที่ถูกเน้น6 6" xfId="889" xr:uid="{00000000-0005-0000-0000-000079030000}"/>
    <cellStyle name="ส่วนที่ถูกเน้น6 7" xfId="1014" xr:uid="{00000000-0005-0000-0000-0000F6030000}"/>
    <cellStyle name="ส่วนที่ถูกเน้น6 8" xfId="1144" xr:uid="{00000000-0005-0000-0000-000078040000}"/>
    <cellStyle name="ส่วนที่ถูกเน้น6 9" xfId="1268" xr:uid="{00000000-0005-0000-0000-0000F4040000}"/>
    <cellStyle name="หมายเหตุ" xfId="144" xr:uid="{00000000-0005-0000-0000-000090000000}"/>
    <cellStyle name="หมายเหตุ 10" xfId="424" xr:uid="{00000000-0005-0000-0000-0000A8010000}"/>
    <cellStyle name="หมายเหตุ 11" xfId="525" xr:uid="{00000000-0005-0000-0000-00000D020000}"/>
    <cellStyle name="หมายเหตุ 12" xfId="640" xr:uid="{00000000-0005-0000-0000-000080020000}"/>
    <cellStyle name="หมายเหตุ 13" xfId="670" xr:uid="{00000000-0005-0000-0000-00009E020000}"/>
    <cellStyle name="หมายเหตุ 14" xfId="765" xr:uid="{00000000-0005-0000-0000-0000FD020000}"/>
    <cellStyle name="หมายเหตุ 15" xfId="795" xr:uid="{00000000-0005-0000-0000-00001B030000}"/>
    <cellStyle name="หมายเหตุ 16" xfId="890" xr:uid="{00000000-0005-0000-0000-00007A030000}"/>
    <cellStyle name="หมายเหตุ 17" xfId="920" xr:uid="{00000000-0005-0000-0000-000098030000}"/>
    <cellStyle name="หมายเหตุ 18" xfId="1015" xr:uid="{00000000-0005-0000-0000-0000F7030000}"/>
    <cellStyle name="หมายเหตุ 19" xfId="1040" xr:uid="{00000000-0005-0000-0000-000010040000}"/>
    <cellStyle name="หมายเหตุ 2" xfId="245" xr:uid="{00000000-0005-0000-0000-0000F5000000}"/>
    <cellStyle name="หมายเหตุ 20" xfId="1050" xr:uid="{00000000-0005-0000-0000-00001A040000}"/>
    <cellStyle name="หมายเหตุ 21" xfId="1145" xr:uid="{00000000-0005-0000-0000-000079040000}"/>
    <cellStyle name="หมายเหตุ 22" xfId="1174" xr:uid="{00000000-0005-0000-0000-000096040000}"/>
    <cellStyle name="หมายเหตุ 23" xfId="1269" xr:uid="{00000000-0005-0000-0000-0000F5040000}"/>
    <cellStyle name="หมายเหตุ 24" xfId="1299" xr:uid="{00000000-0005-0000-0000-000013050000}"/>
    <cellStyle name="หมายเหตุ 25" xfId="1394" xr:uid="{00000000-0005-0000-0000-000072050000}"/>
    <cellStyle name="หมายเหตุ 26" xfId="1424" xr:uid="{00000000-0005-0000-0000-000090050000}"/>
    <cellStyle name="หมายเหตุ 27" xfId="1519" xr:uid="{00000000-0005-0000-0000-0000EF050000}"/>
    <cellStyle name="หมายเหตุ 28" xfId="1549" xr:uid="{00000000-0005-0000-0000-00000D060000}"/>
    <cellStyle name="หมายเหตุ 29" xfId="1644" xr:uid="{00000000-0005-0000-0000-00006C060000}"/>
    <cellStyle name="หมายเหตุ 3" xfId="340" xr:uid="{00000000-0005-0000-0000-000054010000}"/>
    <cellStyle name="หมายเหตุ 30" xfId="1674" xr:uid="{00000000-0005-0000-0000-00008A060000}"/>
    <cellStyle name="หมายเหตุ 31" xfId="1769" xr:uid="{00000000-0005-0000-0000-0000E9060000}"/>
    <cellStyle name="หมายเหตุ 32" xfId="1885" xr:uid="{00000000-0005-0000-0000-00005D070000}"/>
    <cellStyle name="หมายเหตุ 33" xfId="2001" xr:uid="{00000000-0005-0000-0000-0000D1070000}"/>
    <cellStyle name="หมายเหตุ 34" xfId="2118" xr:uid="{00000000-0005-0000-0000-000046080000}"/>
    <cellStyle name="หมายเหตุ 4" xfId="386" xr:uid="{00000000-0005-0000-0000-000082010000}"/>
    <cellStyle name="หมายเหตุ 5" xfId="377" xr:uid="{00000000-0005-0000-0000-000079010000}"/>
    <cellStyle name="หมายเหตุ 6" xfId="368" xr:uid="{00000000-0005-0000-0000-000070010000}"/>
    <cellStyle name="หมายเหตุ 7" xfId="411" xr:uid="{00000000-0005-0000-0000-00009B010000}"/>
    <cellStyle name="หมายเหตุ 8" xfId="405" xr:uid="{00000000-0005-0000-0000-000095010000}"/>
    <cellStyle name="หมายเหตุ 9" xfId="420" xr:uid="{00000000-0005-0000-0000-0000A4010000}"/>
    <cellStyle name="หัวเรื่อง 1" xfId="145" xr:uid="{00000000-0005-0000-0000-000091000000}"/>
    <cellStyle name="หัวเรื่อง 1 10" xfId="1395" xr:uid="{00000000-0005-0000-0000-000073050000}"/>
    <cellStyle name="หัวเรื่อง 1 11" xfId="1520" xr:uid="{00000000-0005-0000-0000-0000F0050000}"/>
    <cellStyle name="หัวเรื่อง 1 12" xfId="1645" xr:uid="{00000000-0005-0000-0000-00006D060000}"/>
    <cellStyle name="หัวเรื่อง 1 13" xfId="1770" xr:uid="{00000000-0005-0000-0000-0000EA060000}"/>
    <cellStyle name="หัวเรื่อง 1 14" xfId="1886" xr:uid="{00000000-0005-0000-0000-00005E070000}"/>
    <cellStyle name="หัวเรื่อง 1 15" xfId="2002" xr:uid="{00000000-0005-0000-0000-0000D2070000}"/>
    <cellStyle name="หัวเรื่อง 1 16" xfId="2119" xr:uid="{00000000-0005-0000-0000-000047080000}"/>
    <cellStyle name="หัวเรื่อง 1 2" xfId="341" xr:uid="{00000000-0005-0000-0000-000055010000}"/>
    <cellStyle name="หัวเรื่อง 1 3" xfId="526" xr:uid="{00000000-0005-0000-0000-00000E020000}"/>
    <cellStyle name="หัวเรื่อง 1 4" xfId="641" xr:uid="{00000000-0005-0000-0000-000081020000}"/>
    <cellStyle name="หัวเรื่อง 1 5" xfId="766" xr:uid="{00000000-0005-0000-0000-0000FE020000}"/>
    <cellStyle name="หัวเรื่อง 1 6" xfId="891" xr:uid="{00000000-0005-0000-0000-00007B030000}"/>
    <cellStyle name="หัวเรื่อง 1 7" xfId="1016" xr:uid="{00000000-0005-0000-0000-0000F8030000}"/>
    <cellStyle name="หัวเรื่อง 1 8" xfId="1146" xr:uid="{00000000-0005-0000-0000-00007A040000}"/>
    <cellStyle name="หัวเรื่อง 1 9" xfId="1270" xr:uid="{00000000-0005-0000-0000-0000F6040000}"/>
    <cellStyle name="หัวเรื่อง 2" xfId="146" xr:uid="{00000000-0005-0000-0000-000092000000}"/>
    <cellStyle name="หัวเรื่อง 2 10" xfId="1396" xr:uid="{00000000-0005-0000-0000-000074050000}"/>
    <cellStyle name="หัวเรื่อง 2 11" xfId="1521" xr:uid="{00000000-0005-0000-0000-0000F1050000}"/>
    <cellStyle name="หัวเรื่อง 2 12" xfId="1646" xr:uid="{00000000-0005-0000-0000-00006E060000}"/>
    <cellStyle name="หัวเรื่อง 2 13" xfId="1771" xr:uid="{00000000-0005-0000-0000-0000EB060000}"/>
    <cellStyle name="หัวเรื่อง 2 14" xfId="1887" xr:uid="{00000000-0005-0000-0000-00005F070000}"/>
    <cellStyle name="หัวเรื่อง 2 15" xfId="2003" xr:uid="{00000000-0005-0000-0000-0000D3070000}"/>
    <cellStyle name="หัวเรื่อง 2 16" xfId="2120" xr:uid="{00000000-0005-0000-0000-000048080000}"/>
    <cellStyle name="หัวเรื่อง 2 2" xfId="342" xr:uid="{00000000-0005-0000-0000-000056010000}"/>
    <cellStyle name="หัวเรื่อง 2 3" xfId="527" xr:uid="{00000000-0005-0000-0000-00000F020000}"/>
    <cellStyle name="หัวเรื่อง 2 4" xfId="642" xr:uid="{00000000-0005-0000-0000-000082020000}"/>
    <cellStyle name="หัวเรื่อง 2 5" xfId="767" xr:uid="{00000000-0005-0000-0000-0000FF020000}"/>
    <cellStyle name="หัวเรื่อง 2 6" xfId="892" xr:uid="{00000000-0005-0000-0000-00007C030000}"/>
    <cellStyle name="หัวเรื่อง 2 7" xfId="1017" xr:uid="{00000000-0005-0000-0000-0000F9030000}"/>
    <cellStyle name="หัวเรื่อง 2 8" xfId="1147" xr:uid="{00000000-0005-0000-0000-00007B040000}"/>
    <cellStyle name="หัวเรื่อง 2 9" xfId="1271" xr:uid="{00000000-0005-0000-0000-0000F7040000}"/>
    <cellStyle name="หัวเรื่อง 3" xfId="147" xr:uid="{00000000-0005-0000-0000-000093000000}"/>
    <cellStyle name="หัวเรื่อง 3 10" xfId="1397" xr:uid="{00000000-0005-0000-0000-000075050000}"/>
    <cellStyle name="หัวเรื่อง 3 11" xfId="1522" xr:uid="{00000000-0005-0000-0000-0000F2050000}"/>
    <cellStyle name="หัวเรื่อง 3 12" xfId="1647" xr:uid="{00000000-0005-0000-0000-00006F060000}"/>
    <cellStyle name="หัวเรื่อง 3 13" xfId="1772" xr:uid="{00000000-0005-0000-0000-0000EC060000}"/>
    <cellStyle name="หัวเรื่อง 3 14" xfId="1888" xr:uid="{00000000-0005-0000-0000-000060070000}"/>
    <cellStyle name="หัวเรื่อง 3 15" xfId="2004" xr:uid="{00000000-0005-0000-0000-0000D4070000}"/>
    <cellStyle name="หัวเรื่อง 3 16" xfId="2121" xr:uid="{00000000-0005-0000-0000-000049080000}"/>
    <cellStyle name="หัวเรื่อง 3 2" xfId="343" xr:uid="{00000000-0005-0000-0000-000057010000}"/>
    <cellStyle name="หัวเรื่อง 3 3" xfId="528" xr:uid="{00000000-0005-0000-0000-000010020000}"/>
    <cellStyle name="หัวเรื่อง 3 4" xfId="643" xr:uid="{00000000-0005-0000-0000-000083020000}"/>
    <cellStyle name="หัวเรื่อง 3 5" xfId="768" xr:uid="{00000000-0005-0000-0000-000000030000}"/>
    <cellStyle name="หัวเรื่อง 3 6" xfId="893" xr:uid="{00000000-0005-0000-0000-00007D030000}"/>
    <cellStyle name="หัวเรื่อง 3 7" xfId="1018" xr:uid="{00000000-0005-0000-0000-0000FA030000}"/>
    <cellStyle name="หัวเรื่อง 3 8" xfId="1148" xr:uid="{00000000-0005-0000-0000-00007C040000}"/>
    <cellStyle name="หัวเรื่อง 3 9" xfId="1272" xr:uid="{00000000-0005-0000-0000-0000F8040000}"/>
    <cellStyle name="หัวเรื่อง 4" xfId="148" xr:uid="{00000000-0005-0000-0000-000094000000}"/>
    <cellStyle name="หัวเรื่อง 4 10" xfId="1398" xr:uid="{00000000-0005-0000-0000-000076050000}"/>
    <cellStyle name="หัวเรื่อง 4 11" xfId="1523" xr:uid="{00000000-0005-0000-0000-0000F3050000}"/>
    <cellStyle name="หัวเรื่อง 4 12" xfId="1648" xr:uid="{00000000-0005-0000-0000-000070060000}"/>
    <cellStyle name="หัวเรื่อง 4 13" xfId="1773" xr:uid="{00000000-0005-0000-0000-0000ED060000}"/>
    <cellStyle name="หัวเรื่อง 4 14" xfId="1889" xr:uid="{00000000-0005-0000-0000-000061070000}"/>
    <cellStyle name="หัวเรื่อง 4 15" xfId="2005" xr:uid="{00000000-0005-0000-0000-0000D5070000}"/>
    <cellStyle name="หัวเรื่อง 4 16" xfId="2122" xr:uid="{00000000-0005-0000-0000-00004A080000}"/>
    <cellStyle name="หัวเรื่อง 4 2" xfId="344" xr:uid="{00000000-0005-0000-0000-000058010000}"/>
    <cellStyle name="หัวเรื่อง 4 3" xfId="529" xr:uid="{00000000-0005-0000-0000-000011020000}"/>
    <cellStyle name="หัวเรื่อง 4 4" xfId="644" xr:uid="{00000000-0005-0000-0000-000084020000}"/>
    <cellStyle name="หัวเรื่อง 4 5" xfId="769" xr:uid="{00000000-0005-0000-0000-000001030000}"/>
    <cellStyle name="หัวเรื่อง 4 6" xfId="894" xr:uid="{00000000-0005-0000-0000-00007E030000}"/>
    <cellStyle name="หัวเรื่อง 4 7" xfId="1019" xr:uid="{00000000-0005-0000-0000-0000FB030000}"/>
    <cellStyle name="หัวเรื่อง 4 8" xfId="1149" xr:uid="{00000000-0005-0000-0000-00007D040000}"/>
    <cellStyle name="หัวเรื่อง 4 9" xfId="1273" xr:uid="{00000000-0005-0000-0000-0000F9040000}"/>
  </cellStyles>
  <dxfs count="552"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botto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FF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68" formatCode="#,##0_);[Red]\(#,##0\)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alignment horizontal="left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7" formatCode="mmm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botto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FF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68" formatCode="#,##0_);[Red]\(#,##0\)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alignment horizontal="left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7" formatCode="mmm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botto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FF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68" formatCode="#,##0_);[Red]\(#,##0\)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alignment horizontal="left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7" formatCode="mmm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7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botto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4" formatCode="m/d;@"/>
      <fill>
        <patternFill patternType="solid">
          <fgColor indexed="64"/>
          <bgColor rgb="FFFFC00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  <family val="2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rgb="FF000000"/>
          <bgColor rgb="FFFFFFCC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7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1" formatCode="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" formatCode="#,##0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2" formatCode="0.00"/>
      <fill>
        <patternFill patternType="solid">
          <fgColor indexed="64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FFCC"/>
        </patternFill>
      </fill>
      <alignment horizontal="center" vertical="botto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68" formatCode="#,##0_);[Red]\(#,##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181" formatCode="#,##0.00_);[Red]\(#,##0.00\)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8" formatCode="#,##0_);[Red]\(#,##0\)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7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8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0\Monthly_Report_10\Shipment_2010\Penalty\Shipment%20Quality%20Monitoring%20Data_Platinum%20Customers_2010.07.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.%202015\Ansarullah\Copy%20of%20CQC_150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6\DELIVERY%20REPORT\(9)September\Delivery%20report%20tgl%2030%20September%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bora_n\AppData\Local\Temp\notes758E9C\SOS_Drat_Report-2015-05-2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iripong\D\Download\Download_Program\excel1\inputdb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9\mi%20fac\Sml\2003\latihan%20kode%20baru\DTW%23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\tip%20n%20trik\FormsControl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7\DELIVERY%20REPORT\Delivery%20report%20tgl%2012%20July%2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inum Cstmr Performance 2010"/>
      <sheetName val="Summary"/>
      <sheetName val="imm_data"/>
      <sheetName val="tcm_data"/>
      <sheetName val="jbg_data"/>
    </sheetNames>
    <sheetDataSet>
      <sheetData sheetId="0">
        <row r="8">
          <cell r="C8" t="str">
            <v>ENEL_40181</v>
          </cell>
        </row>
        <row r="11">
          <cell r="C11" t="str">
            <v>HOPING_40189</v>
          </cell>
        </row>
        <row r="12">
          <cell r="C12" t="str">
            <v>ENEL_40193</v>
          </cell>
        </row>
        <row r="15">
          <cell r="C15" t="str">
            <v>ENEL_40201</v>
          </cell>
        </row>
        <row r="17">
          <cell r="C17" t="str">
            <v>EPDC_40208</v>
          </cell>
        </row>
        <row r="20">
          <cell r="C20" t="str">
            <v>ENEL_40216</v>
          </cell>
        </row>
        <row r="21">
          <cell r="C21" t="str">
            <v>CHUBU_40218</v>
          </cell>
        </row>
        <row r="22">
          <cell r="C22" t="str">
            <v>ENEL_40227</v>
          </cell>
        </row>
        <row r="23">
          <cell r="C23" t="str">
            <v>FORMOSA_40229</v>
          </cell>
        </row>
        <row r="24">
          <cell r="C24" t="str">
            <v>EPDC_40232</v>
          </cell>
        </row>
        <row r="25">
          <cell r="C25" t="str">
            <v>CHUBU_40236</v>
          </cell>
        </row>
        <row r="28">
          <cell r="C28" t="str">
            <v>FORMOSA_40247</v>
          </cell>
        </row>
        <row r="29">
          <cell r="C29" t="str">
            <v>ENEL_40250</v>
          </cell>
        </row>
        <row r="30">
          <cell r="C30" t="str">
            <v>FORMOSA_40253</v>
          </cell>
        </row>
        <row r="31">
          <cell r="C31" t="str">
            <v>HOPING_40255</v>
          </cell>
        </row>
        <row r="32">
          <cell r="C32" t="str">
            <v>FORMOSA_40258</v>
          </cell>
        </row>
        <row r="33">
          <cell r="C33" t="str">
            <v>ENEL_40265</v>
          </cell>
        </row>
        <row r="34">
          <cell r="C34" t="str">
            <v>CHUBU_40267</v>
          </cell>
        </row>
        <row r="37">
          <cell r="C37" t="str">
            <v>FORMOSA_40271</v>
          </cell>
        </row>
        <row r="38">
          <cell r="C38" t="str">
            <v>EPDC_40279</v>
          </cell>
        </row>
        <row r="39">
          <cell r="C39" t="str">
            <v>ENEL_40282</v>
          </cell>
        </row>
        <row r="40">
          <cell r="C40" t="str">
            <v>FORMOSA_40285</v>
          </cell>
        </row>
        <row r="41">
          <cell r="C41" t="str">
            <v>FORMOSA_40288</v>
          </cell>
        </row>
        <row r="42">
          <cell r="C42" t="str">
            <v>FORMOSA_40289</v>
          </cell>
        </row>
        <row r="43">
          <cell r="C43" t="str">
            <v>ENEL_40291</v>
          </cell>
        </row>
        <row r="44">
          <cell r="C44" t="str">
            <v>CHUBU_40296</v>
          </cell>
        </row>
        <row r="45">
          <cell r="C45" t="str">
            <v>HOPING_40298</v>
          </cell>
        </row>
        <row r="48">
          <cell r="C48" t="str">
            <v>ENEL_40304</v>
          </cell>
        </row>
        <row r="49">
          <cell r="C49" t="str">
            <v>CHUBU_40310</v>
          </cell>
        </row>
        <row r="50">
          <cell r="C50" t="str">
            <v>EPDC_40313</v>
          </cell>
        </row>
        <row r="51">
          <cell r="C51" t="str">
            <v>FORMOSA_40314</v>
          </cell>
        </row>
        <row r="52">
          <cell r="C52" t="str">
            <v>ENEL_40323</v>
          </cell>
        </row>
        <row r="53">
          <cell r="C53" t="str">
            <v>FORMOSA_40328</v>
          </cell>
        </row>
        <row r="54">
          <cell r="C54" t="str">
            <v>FORMOSA_40329</v>
          </cell>
        </row>
        <row r="57">
          <cell r="C57" t="str">
            <v>CHUBU_40335</v>
          </cell>
        </row>
        <row r="58">
          <cell r="C58" t="str">
            <v>CHUBU_40340</v>
          </cell>
        </row>
        <row r="59">
          <cell r="C59" t="str">
            <v>ENEL_40354</v>
          </cell>
        </row>
        <row r="60">
          <cell r="C60" t="str">
            <v>FORMOSA_40357</v>
          </cell>
        </row>
        <row r="61">
          <cell r="C61" t="str">
            <v>FORMOSA_40358</v>
          </cell>
        </row>
        <row r="64">
          <cell r="C64" t="str">
            <v>FORMOSA_40361</v>
          </cell>
        </row>
        <row r="65">
          <cell r="C65" t="str">
            <v>HOPING_40362</v>
          </cell>
        </row>
        <row r="66">
          <cell r="C66" t="str">
            <v>FORMOSA_40368</v>
          </cell>
        </row>
        <row r="67">
          <cell r="C67" t="str">
            <v>ENEL_40371</v>
          </cell>
        </row>
        <row r="68">
          <cell r="C68" t="str">
            <v>FORMOSA_40373</v>
          </cell>
        </row>
        <row r="69">
          <cell r="C69" t="str">
            <v>EPDC_40374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  <sheetName val="ACUM"/>
      <sheetName val="TJ"/>
      <sheetName val="LM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MTD OB Forecasting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/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/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Summary"/>
      <sheetName val="COST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L"/>
      <sheetName val="ENELFORM"/>
      <sheetName val="ALL CUSTOMERS SUMMARY"/>
      <sheetName val="PLATINUM"/>
      <sheetName val="GOLD"/>
      <sheetName val="DATA1"/>
      <sheetName val="CRM DATABASE 20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shing"/>
      <sheetName val="CPR"/>
      <sheetName val="Hauling"/>
      <sheetName val="Recl_July 06"/>
      <sheetName val="Stockpile"/>
      <sheetName val="LOADIN_LOADOUT "/>
      <sheetName val="Daily Coal Feeding to Hop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  <sheetName val="ALLMineSource"/>
      <sheetName val="Total Revenue.Tonnage "/>
      <sheetName val="Sheet1 (2)"/>
      <sheetName val="SOS_Drat_Report-2015-05-29"/>
      <sheetName val="Sum July(SOS May 29th)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Input"/>
      <sheetName val="Database"/>
      <sheetName val="Options"/>
    </sheetNames>
    <sheetDataSet>
      <sheetData sheetId="0" refreshError="1"/>
      <sheetData sheetId="1" refreshError="1"/>
      <sheetData sheetId="2" refreshError="1">
        <row r="11">
          <cell r="B11" t="str">
            <v>A001</v>
          </cell>
        </row>
        <row r="12">
          <cell r="B12" t="str">
            <v>A002</v>
          </cell>
        </row>
        <row r="13">
          <cell r="B13" t="str">
            <v>A003</v>
          </cell>
        </row>
        <row r="14">
          <cell r="B14" t="str">
            <v>A004</v>
          </cell>
        </row>
        <row r="15">
          <cell r="B15" t="str">
            <v>A005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/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_Code"/>
      <sheetName val="Detail_Code"/>
      <sheetName val="Input"/>
      <sheetName val="Crushing_Plant"/>
      <sheetName val="Port_Stacking"/>
      <sheetName val="Ship_Loader"/>
      <sheetName val="Module3"/>
      <sheetName val="CR3 (W)"/>
    </sheetNames>
    <sheetDataSet>
      <sheetData sheetId="0" refreshError="1"/>
      <sheetData sheetId="1" refreshError="1">
        <row r="4">
          <cell r="O4" t="str">
            <v>Stacking  Moving</v>
          </cell>
        </row>
        <row r="5">
          <cell r="O5" t="str">
            <v>Not ready to run</v>
          </cell>
        </row>
        <row r="6">
          <cell r="O6" t="str">
            <v>Magnet not ready</v>
          </cell>
        </row>
        <row r="7">
          <cell r="O7" t="str">
            <v>Feeder not ready</v>
          </cell>
        </row>
        <row r="8">
          <cell r="O8" t="str">
            <v>UPS low voltage</v>
          </cell>
        </row>
        <row r="9">
          <cell r="O9" t="str">
            <v>No Power</v>
          </cell>
        </row>
        <row r="10">
          <cell r="O10" t="str">
            <v>Genset trouble</v>
          </cell>
        </row>
        <row r="11">
          <cell r="O11" t="str">
            <v>Human Accident</v>
          </cell>
        </row>
        <row r="12">
          <cell r="O12" t="str">
            <v>Shift Changing</v>
          </cell>
        </row>
        <row r="13">
          <cell r="O13" t="str">
            <v>Shift Briefing</v>
          </cell>
        </row>
        <row r="14">
          <cell r="O14" t="str">
            <v>Missing Workforce</v>
          </cell>
        </row>
        <row r="15">
          <cell r="O15" t="str">
            <v>Geotechnical Problems</v>
          </cell>
        </row>
        <row r="16">
          <cell r="O16" t="str">
            <v>Surface Condition</v>
          </cell>
        </row>
        <row r="17">
          <cell r="O17" t="str">
            <v>Cleaning Equipment</v>
          </cell>
        </row>
        <row r="18">
          <cell r="O18" t="str">
            <v>Cleaning</v>
          </cell>
        </row>
        <row r="19">
          <cell r="O19" t="str">
            <v>Material/Impurities Mineral</v>
          </cell>
        </row>
        <row r="20">
          <cell r="O20" t="str">
            <v>Material</v>
          </cell>
        </row>
        <row r="21">
          <cell r="O21" t="str">
            <v>Overload/Main Drive Slip</v>
          </cell>
        </row>
        <row r="22">
          <cell r="O22" t="str">
            <v>Feeder Breaker stuck</v>
          </cell>
        </row>
        <row r="23">
          <cell r="O23" t="str">
            <v>Crusher over load</v>
          </cell>
        </row>
        <row r="24">
          <cell r="O24" t="str">
            <v>Flop gate over load</v>
          </cell>
        </row>
        <row r="25">
          <cell r="O25" t="str">
            <v>Belt Tension</v>
          </cell>
        </row>
        <row r="26">
          <cell r="O26" t="str">
            <v>Speed low</v>
          </cell>
        </row>
        <row r="27">
          <cell r="O27" t="str">
            <v>Over speed</v>
          </cell>
        </row>
        <row r="28">
          <cell r="O28" t="str">
            <v>Belt Misalignment</v>
          </cell>
        </row>
        <row r="29">
          <cell r="O29" t="str">
            <v>Misalignment</v>
          </cell>
        </row>
        <row r="30">
          <cell r="O30" t="str">
            <v>Misalignment inclined</v>
          </cell>
        </row>
        <row r="31">
          <cell r="O31" t="str">
            <v>Misalignment right boom</v>
          </cell>
        </row>
        <row r="32">
          <cell r="O32" t="str">
            <v>Misalignment left boom</v>
          </cell>
        </row>
        <row r="33">
          <cell r="O33" t="str">
            <v xml:space="preserve">Belt slip </v>
          </cell>
        </row>
        <row r="34">
          <cell r="O34" t="str">
            <v>Belt slip inclined</v>
          </cell>
        </row>
        <row r="35">
          <cell r="O35" t="str">
            <v>Belt slip right boom</v>
          </cell>
        </row>
        <row r="36">
          <cell r="O36" t="str">
            <v>Belt slip left boom</v>
          </cell>
        </row>
        <row r="37">
          <cell r="O37" t="str">
            <v>Belt tear</v>
          </cell>
        </row>
        <row r="38">
          <cell r="O38" t="str">
            <v>Belt tear inclined</v>
          </cell>
        </row>
        <row r="39">
          <cell r="O39" t="str">
            <v>Belt tear right boom</v>
          </cell>
        </row>
        <row r="40">
          <cell r="O40" t="str">
            <v>Belt tear left boom</v>
          </cell>
        </row>
        <row r="41">
          <cell r="O41" t="str">
            <v>Belt ripped</v>
          </cell>
        </row>
        <row r="42">
          <cell r="O42" t="str">
            <v>Operating Error</v>
          </cell>
        </row>
        <row r="43">
          <cell r="O43" t="str">
            <v>Fail to group start</v>
          </cell>
        </row>
        <row r="44">
          <cell r="O44" t="str">
            <v>Fail to group stop</v>
          </cell>
        </row>
        <row r="45">
          <cell r="O45" t="str">
            <v>Other Operational Problems</v>
          </cell>
        </row>
        <row r="46">
          <cell r="O46" t="str">
            <v>Drainage water on belt</v>
          </cell>
        </row>
        <row r="47">
          <cell r="O47" t="str">
            <v>Waiting for Other Systems</v>
          </cell>
        </row>
        <row r="48">
          <cell r="O48" t="str">
            <v>Waiting for Other Causes</v>
          </cell>
        </row>
        <row r="49">
          <cell r="O49" t="str">
            <v>Waiting for Other Systems</v>
          </cell>
        </row>
        <row r="50">
          <cell r="O50" t="str">
            <v>Shortage of Material</v>
          </cell>
        </row>
        <row r="51">
          <cell r="O51" t="str">
            <v>Oversize</v>
          </cell>
        </row>
        <row r="52">
          <cell r="O52" t="str">
            <v>Foreign Material</v>
          </cell>
        </row>
        <row r="53">
          <cell r="O53" t="str">
            <v>Waiting for Feeding</v>
          </cell>
        </row>
        <row r="54">
          <cell r="O54" t="str">
            <v>Waiting for Feeding/No Truck Dump</v>
          </cell>
        </row>
        <row r="55">
          <cell r="O55" t="str">
            <v>Clean after Raining</v>
          </cell>
        </row>
        <row r="56">
          <cell r="O56" t="str">
            <v>Other Causes</v>
          </cell>
        </row>
        <row r="57">
          <cell r="O57" t="str">
            <v>Empty hopper</v>
          </cell>
        </row>
        <row r="58">
          <cell r="O58" t="str">
            <v>PAMA rest/over shift</v>
          </cell>
        </row>
        <row r="59">
          <cell r="O59" t="str">
            <v>Cleaning coal boulder</v>
          </cell>
        </row>
        <row r="60">
          <cell r="O60" t="str">
            <v>Cleaning under bin</v>
          </cell>
        </row>
        <row r="61">
          <cell r="O61" t="str">
            <v>No Loader operator</v>
          </cell>
        </row>
        <row r="62">
          <cell r="O62" t="str">
            <v>Loader break down</v>
          </cell>
        </row>
        <row r="63">
          <cell r="O63" t="str">
            <v>Waiting Excavator / cleaning Hopper</v>
          </cell>
        </row>
        <row r="64">
          <cell r="O64" t="str">
            <v>Power Failure</v>
          </cell>
        </row>
        <row r="65">
          <cell r="O65" t="str">
            <v>Default motor/power failure</v>
          </cell>
        </row>
        <row r="66">
          <cell r="O66" t="str">
            <v>Default brake/power failure</v>
          </cell>
        </row>
        <row r="67">
          <cell r="O67" t="str">
            <v>Panel cooler trouble</v>
          </cell>
        </row>
        <row r="68">
          <cell r="O68" t="str">
            <v>Heart beat loss alarm</v>
          </cell>
        </row>
        <row r="69">
          <cell r="O69" t="str">
            <v>Visual accustic alarm</v>
          </cell>
        </row>
        <row r="70">
          <cell r="O70" t="str">
            <v>Other Causes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/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/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/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/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/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/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/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/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/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/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/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Boxes"/>
      <sheetName val="Sheet2"/>
    </sheetNames>
    <sheetDataSet>
      <sheetData sheetId="0" refreshError="1">
        <row r="1">
          <cell r="G1" t="b">
            <v>0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MTD OB Forecasting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shing"/>
      <sheetName val="Hauling"/>
      <sheetName val="CPR"/>
      <sheetName val="LOPR"/>
      <sheetName val="Stockpile"/>
      <sheetName val="LOADIN_LOADOUT"/>
      <sheetName val="Daily_Inventory"/>
      <sheetName val=" Feeding to Hopper"/>
      <sheetName val="Adj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Non-staff Tender Rates"/>
      <sheetName val="EX2500FIX"/>
      <sheetName val="Movement_Bench15 (ob)"/>
      <sheetName val="Movement_Bench15 (ore)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SUM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DP Report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OB_TCM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DATA MASTER JUN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Stock"/>
      <sheetName val="Usage"/>
      <sheetName val="Base Uni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/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/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/>
          <cell r="AM44"/>
          <cell r="AS44"/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/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/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Ongoing" displayName="TableOngoing" ref="A3:CS50" totalsRowShown="0" headerRowDxfId="551" dataDxfId="550" dataCellStyle="Percent">
  <autoFilter ref="A3:CS50" xr:uid="{00000000-0009-0000-0100-000001000000}"/>
  <tableColumns count="97">
    <tableColumn id="1" xr3:uid="{00000000-0010-0000-0000-000001000000}" name="No." dataDxfId="549"/>
    <tableColumn id="90" xr3:uid="{00000000-0010-0000-0000-00005A000000}" name="No Mahakam" dataDxfId="548"/>
    <tableColumn id="2" xr3:uid="{00000000-0010-0000-0000-000002000000}" name="Month" dataDxfId="547"/>
    <tableColumn id="3" xr3:uid="{00000000-0010-0000-0000-000003000000}" name="Company" dataDxfId="546"/>
    <tableColumn id="4" xr3:uid="{00000000-0010-0000-0000-000004000000}" name="Tyoe of Shipment" dataDxfId="545"/>
    <tableColumn id="5" xr3:uid="{00000000-0010-0000-0000-000005000000}" name="Name of Vessel" dataDxfId="544"/>
    <tableColumn id="6" xr3:uid="{00000000-0010-0000-0000-000006000000}" name="Buyer" dataDxfId="543"/>
    <tableColumn id="7" xr3:uid="{00000000-0010-0000-0000-000007000000}" name="End user" dataDxfId="542"/>
    <tableColumn id="8" xr3:uid="{00000000-0010-0000-0000-000008000000}" name="Load Port" dataDxfId="541"/>
    <tableColumn id="9" xr3:uid="{00000000-0010-0000-0000-000009000000}" name="ETA/ATA" dataDxfId="540"/>
    <tableColumn id="92" xr3:uid="{00000000-0010-0000-0000-00005C000000}" name="ETA S." dataDxfId="539"/>
    <tableColumn id="10" xr3:uid="{00000000-0010-0000-0000-00000A000000}" name="ETB" dataDxfId="538"/>
    <tableColumn id="91" xr3:uid="{00000000-0010-0000-0000-00005B000000}" name="ETB S." dataDxfId="537"/>
    <tableColumn id="11" xr3:uid="{00000000-0010-0000-0000-00000B000000}" name="ETD" dataDxfId="536"/>
    <tableColumn id="96" xr3:uid="{00000000-0010-0000-0000-000060000000}" name="ETD S." dataDxfId="535"/>
    <tableColumn id="12" xr3:uid="{00000000-0010-0000-0000-00000C000000}" name="IMM-WB.HCV.LS" dataDxfId="534"/>
    <tableColumn id="13" xr3:uid="{00000000-0010-0000-0000-00000D000000}" name="IMM-WB.MCV.HS" dataDxfId="533"/>
    <tableColumn id="14" xr3:uid="{00000000-0010-0000-0000-00000E000000}" name="IMM-EB.MCV.LS" dataDxfId="532"/>
    <tableColumn id="15" xr3:uid="{00000000-0010-0000-0000-00000F000000}" name="IMM-EB.MCV.MS" dataDxfId="531"/>
    <tableColumn id="16" xr3:uid="{00000000-0010-0000-0000-000010000000}" name="IMM-EB.MCV.HS" dataDxfId="530"/>
    <tableColumn id="17" xr3:uid="{00000000-0010-0000-0000-000011000000}" name="TCM.HCV.LS " dataDxfId="529"/>
    <tableColumn id="18" xr3:uid="{00000000-0010-0000-0000-000012000000}" name="TCM.HCV.HS " dataDxfId="528"/>
    <tableColumn id="19" xr3:uid="{00000000-0010-0000-0000-000013000000}" name="TCM.HCV.MS" dataDxfId="527"/>
    <tableColumn id="20" xr3:uid="{00000000-0010-0000-0000-000014000000}" name="BEK.MCV.LS" dataDxfId="526"/>
    <tableColumn id="21" xr3:uid="{00000000-0010-0000-0000-000015000000}" name="BEK.HCV.MS" dataDxfId="525"/>
    <tableColumn id="22" xr3:uid="{00000000-0010-0000-0000-000016000000}" name="JBG" dataDxfId="524"/>
    <tableColumn id="95" xr3:uid="{00000000-0010-0000-0000-00005F000000}" name="GPK" dataDxfId="523"/>
    <tableColumn id="85" xr3:uid="{00000000-0010-0000-0000-000055000000}" name="TIS" dataDxfId="522"/>
    <tableColumn id="24" xr3:uid="{00000000-0010-0000-0000-000018000000}" name="EBH.HCV" dataDxfId="521"/>
    <tableColumn id="25" xr3:uid="{00000000-0010-0000-0000-000019000000}" name="SHORE.HCV" dataDxfId="520"/>
    <tableColumn id="26" xr3:uid="{00000000-0010-0000-0000-00001A000000}" name="KMIA.MCV.LS" dataDxfId="519"/>
    <tableColumn id="27" xr3:uid="{00000000-0010-0000-0000-00001B000000}" name="BBE.MCV" dataDxfId="518"/>
    <tableColumn id="28" xr3:uid="{00000000-0010-0000-0000-00001C000000}" name="MBL.MCV" dataDxfId="517"/>
    <tableColumn id="29" xr3:uid="{00000000-0010-0000-0000-00001D000000}" name="JMB MCV" dataDxfId="516"/>
    <tableColumn id="30" xr3:uid="{00000000-0010-0000-0000-00001E000000}" name="GHP.MCV" dataDxfId="515"/>
    <tableColumn id="31" xr3:uid="{00000000-0010-0000-0000-00001F000000}" name="EMJ.MCV" dataDxfId="514"/>
    <tableColumn id="32" xr3:uid="{00000000-0010-0000-0000-000020000000}" name="PEY.MCV" dataDxfId="513"/>
    <tableColumn id="33" xr3:uid="{00000000-0010-0000-0000-000021000000}" name="KBM.MCV" dataDxfId="512"/>
    <tableColumn id="34" xr3:uid="{00000000-0010-0000-0000-000022000000}" name="IKJ MCV" dataDxfId="511"/>
    <tableColumn id="35" xr3:uid="{00000000-0010-0000-0000-000023000000}" name="PUMA MCV" dataDxfId="510"/>
    <tableColumn id="36" xr3:uid="{00000000-0010-0000-0000-000024000000}" name="AUB" dataDxfId="509"/>
    <tableColumn id="37" xr3:uid="{00000000-0010-0000-0000-000025000000}" name="BAR" dataDxfId="508"/>
    <tableColumn id="38" xr3:uid="{00000000-0010-0000-0000-000026000000}" name="KJA.LCV.LS" dataDxfId="507"/>
    <tableColumn id="39" xr3:uid="{00000000-0010-0000-0000-000027000000}" name="JHN.LCV" dataDxfId="506"/>
    <tableColumn id="40" xr3:uid="{00000000-0010-0000-0000-000028000000}" name="DMP.LCV" dataDxfId="505"/>
    <tableColumn id="41" xr3:uid="{00000000-0010-0000-0000-000029000000}" name="MCM.LCV" dataDxfId="504"/>
    <tableColumn id="42" xr3:uid="{00000000-0010-0000-0000-00002A000000}" name="BMM.LCV" dataDxfId="503"/>
    <tableColumn id="43" xr3:uid="{00000000-0010-0000-0000-00002B000000}" name="ABA.LCV" dataDxfId="502"/>
    <tableColumn id="44" xr3:uid="{00000000-0010-0000-0000-00002C000000}" name="BBA.LCV" dataDxfId="501"/>
    <tableColumn id="45" xr3:uid="{00000000-0010-0000-0000-00002D000000}" name="MML.LCV" dataDxfId="500"/>
    <tableColumn id="46" xr3:uid="{00000000-0010-0000-0000-00002E000000}" name="SJA.LCV" dataDxfId="499"/>
    <tableColumn id="47" xr3:uid="{00000000-0010-0000-0000-00002F000000}" name="KWA.LCV" dataDxfId="498"/>
    <tableColumn id="48" xr3:uid="{00000000-0010-0000-0000-000030000000}" name="KPM.LCV" dataDxfId="497"/>
    <tableColumn id="49" xr3:uid="{00000000-0010-0000-0000-000031000000}" name="KJM.LCV" dataDxfId="496"/>
    <tableColumn id="50" xr3:uid="{00000000-0010-0000-0000-000032000000}" name="DBP.LCV" dataDxfId="495"/>
    <tableColumn id="51" xr3:uid="{00000000-0010-0000-0000-000033000000}" name="IBP.LCV" dataDxfId="494"/>
    <tableColumn id="52" xr3:uid="{00000000-0010-0000-0000-000034000000}" name="RMB.LCV" dataDxfId="493"/>
    <tableColumn id="53" xr3:uid="{00000000-0010-0000-0000-000035000000}" name="BUM.LCV" dataDxfId="492"/>
    <tableColumn id="93" xr3:uid="{00000000-0010-0000-0000-00005D000000}" name="BISM.LCV" dataDxfId="491"/>
    <tableColumn id="54" xr3:uid="{00000000-0010-0000-0000-000036000000}" name="PSB.LCV" dataDxfId="490"/>
    <tableColumn id="94" xr3:uid="{00000000-0010-0000-0000-00005E000000}" name="Total EBP" dataDxfId="489">
      <calculatedColumnFormula>SUM(TableOngoing[[#This Row],[EBH.HCV]:[PSB.LCV]])</calculatedColumnFormula>
    </tableColumn>
    <tableColumn id="55" xr3:uid="{00000000-0010-0000-0000-000037000000}" name="Total" dataDxfId="488"/>
    <tableColumn id="56" xr3:uid="{00000000-0010-0000-0000-000038000000}" name="Lay" dataDxfId="487"/>
    <tableColumn id="98" xr3:uid="{00000000-0010-0000-0000-000062000000}" name="Lay S." dataDxfId="486"/>
    <tableColumn id="57" xr3:uid="{00000000-0010-0000-0000-000039000000}" name="can" dataDxfId="485"/>
    <tableColumn id="99" xr3:uid="{00000000-0010-0000-0000-000063000000}" name="Can S." dataDxfId="484"/>
    <tableColumn id="58" xr3:uid="{00000000-0010-0000-0000-00003A000000}" name="%" dataDxfId="483" dataCellStyle="Percent"/>
    <tableColumn id="59" xr3:uid="{00000000-0010-0000-0000-00003B000000}" name="Status" dataDxfId="482"/>
    <tableColumn id="60" xr3:uid="{00000000-0010-0000-0000-00003C000000}" name="FLF" dataDxfId="481" dataCellStyle="Percent"/>
    <tableColumn id="61" xr3:uid="{00000000-0010-0000-0000-00003D000000}" name="TM (AR)" dataDxfId="480"/>
    <tableColumn id="62" xr3:uid="{00000000-0010-0000-0000-00003E000000}" name="M (AD)" dataDxfId="479"/>
    <tableColumn id="63" xr3:uid="{00000000-0010-0000-0000-00003F000000}" name="ASH (AD)" dataDxfId="478"/>
    <tableColumn id="64" xr3:uid="{00000000-0010-0000-0000-000040000000}" name="ASH (AR)" dataDxfId="477"/>
    <tableColumn id="65" xr3:uid="{00000000-0010-0000-0000-000041000000}" name="TS (AD)" dataDxfId="476"/>
    <tableColumn id="66" xr3:uid="{00000000-0010-0000-0000-000042000000}" name="TS (AR)" dataDxfId="475"/>
    <tableColumn id="67" xr3:uid="{00000000-0010-0000-0000-000043000000}" name="CV (AD)" dataDxfId="474"/>
    <tableColumn id="68" xr3:uid="{00000000-0010-0000-0000-000044000000}" name="CV (AR)" dataDxfId="473"/>
    <tableColumn id="69" xr3:uid="{00000000-0010-0000-0000-000045000000}" name="CV (NAR)" dataDxfId="472"/>
    <tableColumn id="70" xr3:uid="{00000000-0010-0000-0000-000046000000}" name="PW0" dataDxfId="471" dataCellStyle="Percent"/>
    <tableColumn id="71" xr3:uid="{00000000-0010-0000-0000-000047000000}" name="PW1" dataDxfId="470" dataCellStyle="Percent"/>
    <tableColumn id="72" xr3:uid="{00000000-0010-0000-0000-000048000000}" name="PW2" dataDxfId="469" dataCellStyle="Percent"/>
    <tableColumn id="73" xr3:uid="{00000000-0010-0000-0000-000049000000}" name="PW3" dataDxfId="468" dataCellStyle="Percent"/>
    <tableColumn id="74" xr3:uid="{00000000-0010-0000-0000-00004A000000}" name="PW4" dataDxfId="467" dataCellStyle="Percent"/>
    <tableColumn id="75" xr3:uid="{00000000-0010-0000-0000-00004B000000}" name="PW5" dataDxfId="466" dataCellStyle="Percent"/>
    <tableColumn id="76" xr3:uid="{00000000-0010-0000-0000-00004C000000}" name="Act" dataDxfId="465" dataCellStyle="Percent"/>
    <tableColumn id="77" xr3:uid="{00000000-0010-0000-0000-00004D000000}" name="DW0" dataDxfId="464"/>
    <tableColumn id="78" xr3:uid="{00000000-0010-0000-0000-00004E000000}" name="DW1" dataDxfId="463"/>
    <tableColumn id="79" xr3:uid="{00000000-0010-0000-0000-00004F000000}" name="DW2" dataDxfId="462"/>
    <tableColumn id="80" xr3:uid="{00000000-0010-0000-0000-000050000000}" name="DW3" dataDxfId="461" dataCellStyle="Percent"/>
    <tableColumn id="81" xr3:uid="{00000000-0010-0000-0000-000051000000}" name="DW4" dataDxfId="460" dataCellStyle="Percent"/>
    <tableColumn id="82" xr3:uid="{00000000-0010-0000-0000-000052000000}" name="DW5" dataDxfId="459" dataCellStyle="Percent"/>
    <tableColumn id="83" xr3:uid="{00000000-0010-0000-0000-000053000000}" name="Act_1" dataDxfId="458" dataCellStyle="Percent"/>
    <tableColumn id="84" xr3:uid="{00000000-0010-0000-0000-000054000000}" name="GLR" dataDxfId="457"/>
    <tableColumn id="86" xr3:uid="{00000000-0010-0000-0000-000056000000}" name="Column85" dataDxfId="456" dataCellStyle="Percent"/>
    <tableColumn id="87" xr3:uid="{00000000-0010-0000-0000-000057000000}" name="Column86" dataDxfId="455" dataCellStyle="Percent"/>
    <tableColumn id="88" xr3:uid="{00000000-0010-0000-0000-000058000000}" name="Column87" dataDxfId="454" dataCellStyle="Percent"/>
    <tableColumn id="89" xr3:uid="{00000000-0010-0000-0000-000059000000}" name="Column88" dataDxfId="453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Month1" displayName="TableMonth1" ref="A3:CK50" totalsRowShown="0" headerRowDxfId="452" dataDxfId="451" dataCellStyle="Percent">
  <autoFilter ref="A3:CK50" xr:uid="{00000000-0009-0000-0100-000002000000}"/>
  <tableColumns count="89">
    <tableColumn id="1" xr3:uid="{00000000-0010-0000-0100-000001000000}" name="No." dataDxfId="450"/>
    <tableColumn id="90" xr3:uid="{00000000-0010-0000-0100-00005A000000}" name="No Mahakam" dataDxfId="449"/>
    <tableColumn id="2" xr3:uid="{00000000-0010-0000-0100-000002000000}" name="Month" dataDxfId="448"/>
    <tableColumn id="3" xr3:uid="{00000000-0010-0000-0100-000003000000}" name="Company" dataDxfId="447"/>
    <tableColumn id="4" xr3:uid="{00000000-0010-0000-0100-000004000000}" name="Tyoe of Shipment" dataDxfId="446"/>
    <tableColumn id="5" xr3:uid="{00000000-0010-0000-0100-000005000000}" name="Name of Vessel" dataDxfId="445"/>
    <tableColumn id="6" xr3:uid="{00000000-0010-0000-0100-000006000000}" name="Buyer" dataDxfId="444"/>
    <tableColumn id="7" xr3:uid="{00000000-0010-0000-0100-000007000000}" name="End user" dataDxfId="443"/>
    <tableColumn id="8" xr3:uid="{00000000-0010-0000-0100-000008000000}" name="Load Port" dataDxfId="442"/>
    <tableColumn id="9" xr3:uid="{00000000-0010-0000-0100-000009000000}" name="ETA/ATA" dataDxfId="441"/>
    <tableColumn id="10" xr3:uid="{00000000-0010-0000-0100-00000A000000}" name="ETB" dataDxfId="440"/>
    <tableColumn id="11" xr3:uid="{00000000-0010-0000-0100-00000B000000}" name="ETD" dataDxfId="439"/>
    <tableColumn id="12" xr3:uid="{00000000-0010-0000-0100-00000C000000}" name="IMM-WB.HCV.LS" dataDxfId="438"/>
    <tableColumn id="13" xr3:uid="{00000000-0010-0000-0100-00000D000000}" name="IMM-WB.MCV.HS" dataDxfId="437"/>
    <tableColumn id="14" xr3:uid="{00000000-0010-0000-0100-00000E000000}" name="IMM-EB.MCV.LS" dataDxfId="436"/>
    <tableColumn id="15" xr3:uid="{00000000-0010-0000-0100-00000F000000}" name="IMM-EB.MCV.MS" dataDxfId="435"/>
    <tableColumn id="16" xr3:uid="{00000000-0010-0000-0100-000010000000}" name="IMM-EB.MCV.HS" dataDxfId="434"/>
    <tableColumn id="17" xr3:uid="{00000000-0010-0000-0100-000011000000}" name="TCM.HCV.LS " dataDxfId="433"/>
    <tableColumn id="18" xr3:uid="{00000000-0010-0000-0100-000012000000}" name="TCM.HCV.HS " dataDxfId="432"/>
    <tableColumn id="19" xr3:uid="{00000000-0010-0000-0100-000013000000}" name="TCM.HCV.MS" dataDxfId="431"/>
    <tableColumn id="20" xr3:uid="{00000000-0010-0000-0100-000014000000}" name="BEK.MCV.LS"/>
    <tableColumn id="21" xr3:uid="{00000000-0010-0000-0100-000015000000}" name="BEK.HCV.MS" dataDxfId="430"/>
    <tableColumn id="22" xr3:uid="{00000000-0010-0000-0100-000016000000}" name="JBG" dataDxfId="429"/>
    <tableColumn id="23" xr3:uid="{00000000-0010-0000-0100-000017000000}" name="GPK" dataDxfId="428"/>
    <tableColumn id="24" xr3:uid="{00000000-0010-0000-0100-000018000000}" name="EBH.HCV" dataDxfId="427"/>
    <tableColumn id="25" xr3:uid="{00000000-0010-0000-0100-000019000000}" name="SHORE.HCV" dataDxfId="426"/>
    <tableColumn id="26" xr3:uid="{00000000-0010-0000-0100-00001A000000}" name="KMIA.MCV.LS" dataDxfId="425"/>
    <tableColumn id="27" xr3:uid="{00000000-0010-0000-0100-00001B000000}" name="BBE.MCV" dataDxfId="424"/>
    <tableColumn id="28" xr3:uid="{00000000-0010-0000-0100-00001C000000}" name="MBL.MCV" dataDxfId="423"/>
    <tableColumn id="29" xr3:uid="{00000000-0010-0000-0100-00001D000000}" name="JMB MCV" dataDxfId="422"/>
    <tableColumn id="30" xr3:uid="{00000000-0010-0000-0100-00001E000000}" name="GHP.MCV" dataDxfId="421"/>
    <tableColumn id="31" xr3:uid="{00000000-0010-0000-0100-00001F000000}" name="EMJ.MCV" dataDxfId="420"/>
    <tableColumn id="32" xr3:uid="{00000000-0010-0000-0100-000020000000}" name="PEY.MCV" dataDxfId="419"/>
    <tableColumn id="33" xr3:uid="{00000000-0010-0000-0100-000021000000}" name="KBM.MCV" dataDxfId="418"/>
    <tableColumn id="34" xr3:uid="{00000000-0010-0000-0100-000022000000}" name="IKJ MCV" dataDxfId="417"/>
    <tableColumn id="35" xr3:uid="{00000000-0010-0000-0100-000023000000}" name="PUMA MCV" dataDxfId="416"/>
    <tableColumn id="36" xr3:uid="{00000000-0010-0000-0100-000024000000}" name="AUB" dataDxfId="415"/>
    <tableColumn id="37" xr3:uid="{00000000-0010-0000-0100-000025000000}" name="BAR" dataDxfId="414"/>
    <tableColumn id="38" xr3:uid="{00000000-0010-0000-0100-000026000000}" name="KJA.LCV.LS" dataDxfId="413"/>
    <tableColumn id="39" xr3:uid="{00000000-0010-0000-0100-000027000000}" name="JHN.LCV" dataDxfId="412"/>
    <tableColumn id="40" xr3:uid="{00000000-0010-0000-0100-000028000000}" name="DMP.LCV" dataDxfId="411"/>
    <tableColumn id="41" xr3:uid="{00000000-0010-0000-0100-000029000000}" name="MCM.LCV" dataDxfId="410"/>
    <tableColumn id="42" xr3:uid="{00000000-0010-0000-0100-00002A000000}" name="BMM.LCV" dataDxfId="409"/>
    <tableColumn id="43" xr3:uid="{00000000-0010-0000-0100-00002B000000}" name="ABA.LCV" dataDxfId="408"/>
    <tableColumn id="44" xr3:uid="{00000000-0010-0000-0100-00002C000000}" name="BBA.LCV" dataDxfId="407"/>
    <tableColumn id="45" xr3:uid="{00000000-0010-0000-0100-00002D000000}" name="MML.LCV" dataDxfId="406"/>
    <tableColumn id="46" xr3:uid="{00000000-0010-0000-0100-00002E000000}" name="SJA.LCV" dataDxfId="405"/>
    <tableColumn id="47" xr3:uid="{00000000-0010-0000-0100-00002F000000}" name="KWA.LCV" dataDxfId="404"/>
    <tableColumn id="48" xr3:uid="{00000000-0010-0000-0100-000030000000}" name="KPM.LCV" dataDxfId="403"/>
    <tableColumn id="49" xr3:uid="{00000000-0010-0000-0100-000031000000}" name="KJM.LCV" dataDxfId="402"/>
    <tableColumn id="50" xr3:uid="{00000000-0010-0000-0100-000032000000}" name="DBP.LCV" dataDxfId="401"/>
    <tableColumn id="51" xr3:uid="{00000000-0010-0000-0100-000033000000}" name="IBP.LCV" dataDxfId="400"/>
    <tableColumn id="52" xr3:uid="{00000000-0010-0000-0100-000034000000}" name="RMB.LCV" dataDxfId="399"/>
    <tableColumn id="53" xr3:uid="{00000000-0010-0000-0100-000035000000}" name="BUM.LCV" dataDxfId="398"/>
    <tableColumn id="54" xr3:uid="{00000000-0010-0000-0100-000036000000}" name="PSB.LCV" dataDxfId="397"/>
    <tableColumn id="55" xr3:uid="{00000000-0010-0000-0100-000037000000}" name="Total" dataDxfId="396"/>
    <tableColumn id="56" xr3:uid="{00000000-0010-0000-0100-000038000000}" name="Lay" dataDxfId="395"/>
    <tableColumn id="57" xr3:uid="{00000000-0010-0000-0100-000039000000}" name="can" dataDxfId="394"/>
    <tableColumn id="58" xr3:uid="{00000000-0010-0000-0100-00003A000000}" name="%" dataDxfId="393" dataCellStyle="Percent"/>
    <tableColumn id="59" xr3:uid="{00000000-0010-0000-0100-00003B000000}" name="Status" dataDxfId="392"/>
    <tableColumn id="60" xr3:uid="{00000000-0010-0000-0100-00003C000000}" name="FLF" dataDxfId="391" dataCellStyle="Percent"/>
    <tableColumn id="61" xr3:uid="{00000000-0010-0000-0100-00003D000000}" name="TM (AR)" dataDxfId="390"/>
    <tableColumn id="62" xr3:uid="{00000000-0010-0000-0100-00003E000000}" name="M (AD)" dataDxfId="389"/>
    <tableColumn id="63" xr3:uid="{00000000-0010-0000-0100-00003F000000}" name="ASH (AD)" dataDxfId="388"/>
    <tableColumn id="64" xr3:uid="{00000000-0010-0000-0100-000040000000}" name="ASH (AR)" dataDxfId="387"/>
    <tableColumn id="65" xr3:uid="{00000000-0010-0000-0100-000041000000}" name="TS (AD)" dataDxfId="386"/>
    <tableColumn id="66" xr3:uid="{00000000-0010-0000-0100-000042000000}" name="TS (AR)" dataDxfId="385"/>
    <tableColumn id="67" xr3:uid="{00000000-0010-0000-0100-000043000000}" name="CV (AD)" dataDxfId="384"/>
    <tableColumn id="68" xr3:uid="{00000000-0010-0000-0100-000044000000}" name="CV (AR)" dataDxfId="383"/>
    <tableColumn id="69" xr3:uid="{00000000-0010-0000-0100-000045000000}" name="CV (NAR)" dataDxfId="382"/>
    <tableColumn id="70" xr3:uid="{00000000-0010-0000-0100-000046000000}" name="PW0" dataDxfId="381" dataCellStyle="Percent"/>
    <tableColumn id="71" xr3:uid="{00000000-0010-0000-0100-000047000000}" name="PW1" dataDxfId="380" dataCellStyle="Percent"/>
    <tableColumn id="72" xr3:uid="{00000000-0010-0000-0100-000048000000}" name="PW2" dataDxfId="379" dataCellStyle="Percent"/>
    <tableColumn id="73" xr3:uid="{00000000-0010-0000-0100-000049000000}" name="PW3" dataDxfId="378" dataCellStyle="Percent"/>
    <tableColumn id="74" xr3:uid="{00000000-0010-0000-0100-00004A000000}" name="PW4" dataDxfId="377" dataCellStyle="Percent"/>
    <tableColumn id="75" xr3:uid="{00000000-0010-0000-0100-00004B000000}" name="PW5" dataDxfId="376" dataCellStyle="Percent"/>
    <tableColumn id="76" xr3:uid="{00000000-0010-0000-0100-00004C000000}" name="Act" dataDxfId="375" dataCellStyle="Percent"/>
    <tableColumn id="77" xr3:uid="{00000000-0010-0000-0100-00004D000000}" name="DW0" dataDxfId="374"/>
    <tableColumn id="78" xr3:uid="{00000000-0010-0000-0100-00004E000000}" name="DW1" dataDxfId="373"/>
    <tableColumn id="79" xr3:uid="{00000000-0010-0000-0100-00004F000000}" name="DW2" dataDxfId="372"/>
    <tableColumn id="80" xr3:uid="{00000000-0010-0000-0100-000050000000}" name="DW3" dataDxfId="371" dataCellStyle="Percent"/>
    <tableColumn id="81" xr3:uid="{00000000-0010-0000-0100-000051000000}" name="DW4" dataDxfId="370" dataCellStyle="Percent"/>
    <tableColumn id="82" xr3:uid="{00000000-0010-0000-0100-000052000000}" name="DW5" dataDxfId="369" dataCellStyle="Percent"/>
    <tableColumn id="83" xr3:uid="{00000000-0010-0000-0100-000053000000}" name="Act_1" dataDxfId="368" dataCellStyle="Percent"/>
    <tableColumn id="84" xr3:uid="{00000000-0010-0000-0100-000054000000}" name="GLR" dataDxfId="367"/>
    <tableColumn id="86" xr3:uid="{00000000-0010-0000-0100-000056000000}" name="Column85" dataDxfId="366" dataCellStyle="Percent"/>
    <tableColumn id="87" xr3:uid="{00000000-0010-0000-0100-000057000000}" name="Column86" dataDxfId="365" dataCellStyle="Percent"/>
    <tableColumn id="88" xr3:uid="{00000000-0010-0000-0100-000058000000}" name="Column87" dataDxfId="364" dataCellStyle="Percent"/>
    <tableColumn id="89" xr3:uid="{00000000-0010-0000-0100-000059000000}" name="Column88" dataDxfId="363" dataCellStyle="Perc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Month2" displayName="TableMonth2" ref="A3:CK45" totalsRowShown="0" headerRowDxfId="362" dataDxfId="361" dataCellStyle="Percent">
  <autoFilter ref="A3:CK45" xr:uid="{00000000-0009-0000-0100-000003000000}"/>
  <tableColumns count="89">
    <tableColumn id="1" xr3:uid="{00000000-0010-0000-0200-000001000000}" name="No." dataDxfId="360"/>
    <tableColumn id="90" xr3:uid="{00000000-0010-0000-0200-00005A000000}" name="No Mahakam" dataDxfId="359"/>
    <tableColumn id="2" xr3:uid="{00000000-0010-0000-0200-000002000000}" name="Month" dataDxfId="358"/>
    <tableColumn id="3" xr3:uid="{00000000-0010-0000-0200-000003000000}" name="Company" dataDxfId="357"/>
    <tableColumn id="4" xr3:uid="{00000000-0010-0000-0200-000004000000}" name="Tyoe of Shipment" dataDxfId="356"/>
    <tableColumn id="5" xr3:uid="{00000000-0010-0000-0200-000005000000}" name="Name of Vessel" dataDxfId="355"/>
    <tableColumn id="6" xr3:uid="{00000000-0010-0000-0200-000006000000}" name="Buyer" dataDxfId="354"/>
    <tableColumn id="7" xr3:uid="{00000000-0010-0000-0200-000007000000}" name="End user" dataDxfId="353"/>
    <tableColumn id="8" xr3:uid="{00000000-0010-0000-0200-000008000000}" name="Load Port" dataDxfId="352"/>
    <tableColumn id="9" xr3:uid="{00000000-0010-0000-0200-000009000000}" name="ETA/ATA" dataDxfId="351"/>
    <tableColumn id="10" xr3:uid="{00000000-0010-0000-0200-00000A000000}" name="ETB" dataDxfId="350"/>
    <tableColumn id="11" xr3:uid="{00000000-0010-0000-0200-00000B000000}" name="ETD" dataDxfId="349"/>
    <tableColumn id="12" xr3:uid="{00000000-0010-0000-0200-00000C000000}" name="IMM-WB.HCV.LS" dataDxfId="348"/>
    <tableColumn id="13" xr3:uid="{00000000-0010-0000-0200-00000D000000}" name="IMM-WB.MCV.HS" dataDxfId="347"/>
    <tableColumn id="14" xr3:uid="{00000000-0010-0000-0200-00000E000000}" name="IMM-EB.MCV.LS" dataDxfId="346"/>
    <tableColumn id="15" xr3:uid="{00000000-0010-0000-0200-00000F000000}" name="IMM-EB.MCV.MS" dataDxfId="345"/>
    <tableColumn id="16" xr3:uid="{00000000-0010-0000-0200-000010000000}" name="IMM-EB.MCV.HS" dataDxfId="344"/>
    <tableColumn id="17" xr3:uid="{00000000-0010-0000-0200-000011000000}" name="TCM.HCV.LS " dataDxfId="343"/>
    <tableColumn id="18" xr3:uid="{00000000-0010-0000-0200-000012000000}" name="TCM.HCV.HS " dataDxfId="342"/>
    <tableColumn id="19" xr3:uid="{00000000-0010-0000-0200-000013000000}" name="TCM.HCV.MS" dataDxfId="341"/>
    <tableColumn id="20" xr3:uid="{00000000-0010-0000-0200-000014000000}" name="BEK.MCV.LS"/>
    <tableColumn id="21" xr3:uid="{00000000-0010-0000-0200-000015000000}" name="BEK.HCV.MS" dataDxfId="340"/>
    <tableColumn id="22" xr3:uid="{00000000-0010-0000-0200-000016000000}" name="JBG" dataDxfId="339"/>
    <tableColumn id="23" xr3:uid="{00000000-0010-0000-0200-000017000000}" name="GPK" dataDxfId="338"/>
    <tableColumn id="24" xr3:uid="{00000000-0010-0000-0200-000018000000}" name="EBH.HCV" dataDxfId="337"/>
    <tableColumn id="25" xr3:uid="{00000000-0010-0000-0200-000019000000}" name="SHORE.HCV" dataDxfId="336"/>
    <tableColumn id="26" xr3:uid="{00000000-0010-0000-0200-00001A000000}" name="KMIA.MCV.LS" dataDxfId="335"/>
    <tableColumn id="27" xr3:uid="{00000000-0010-0000-0200-00001B000000}" name="BBE.MCV" dataDxfId="334"/>
    <tableColumn id="28" xr3:uid="{00000000-0010-0000-0200-00001C000000}" name="MBL.MCV" dataDxfId="333"/>
    <tableColumn id="29" xr3:uid="{00000000-0010-0000-0200-00001D000000}" name="JMB MCV" dataDxfId="332"/>
    <tableColumn id="30" xr3:uid="{00000000-0010-0000-0200-00001E000000}" name="GHP.MCV" dataDxfId="331"/>
    <tableColumn id="31" xr3:uid="{00000000-0010-0000-0200-00001F000000}" name="EMJ.MCV" dataDxfId="330"/>
    <tableColumn id="32" xr3:uid="{00000000-0010-0000-0200-000020000000}" name="PEY.MCV" dataDxfId="329"/>
    <tableColumn id="33" xr3:uid="{00000000-0010-0000-0200-000021000000}" name="KBM.MCV" dataDxfId="328"/>
    <tableColumn id="34" xr3:uid="{00000000-0010-0000-0200-000022000000}" name="IKJ MCV" dataDxfId="327"/>
    <tableColumn id="35" xr3:uid="{00000000-0010-0000-0200-000023000000}" name="PUMA MCV" dataDxfId="326"/>
    <tableColumn id="36" xr3:uid="{00000000-0010-0000-0200-000024000000}" name="AUB" dataDxfId="325"/>
    <tableColumn id="37" xr3:uid="{00000000-0010-0000-0200-000025000000}" name="BAR" dataDxfId="324"/>
    <tableColumn id="38" xr3:uid="{00000000-0010-0000-0200-000026000000}" name="KJA.LCV.LS" dataDxfId="323"/>
    <tableColumn id="39" xr3:uid="{00000000-0010-0000-0200-000027000000}" name="JHN.LCV" dataDxfId="322"/>
    <tableColumn id="40" xr3:uid="{00000000-0010-0000-0200-000028000000}" name="DMP.LCV" dataDxfId="321"/>
    <tableColumn id="41" xr3:uid="{00000000-0010-0000-0200-000029000000}" name="MCM.LCV" dataDxfId="320"/>
    <tableColumn id="42" xr3:uid="{00000000-0010-0000-0200-00002A000000}" name="BMM.LCV" dataDxfId="319"/>
    <tableColumn id="43" xr3:uid="{00000000-0010-0000-0200-00002B000000}" name="ABA.LCV" dataDxfId="318"/>
    <tableColumn id="44" xr3:uid="{00000000-0010-0000-0200-00002C000000}" name="BBA.LCV" dataDxfId="317"/>
    <tableColumn id="45" xr3:uid="{00000000-0010-0000-0200-00002D000000}" name="MML.LCV" dataDxfId="316"/>
    <tableColumn id="46" xr3:uid="{00000000-0010-0000-0200-00002E000000}" name="SJA.LCV" dataDxfId="315"/>
    <tableColumn id="47" xr3:uid="{00000000-0010-0000-0200-00002F000000}" name="KWA.LCV" dataDxfId="314"/>
    <tableColumn id="48" xr3:uid="{00000000-0010-0000-0200-000030000000}" name="KPM.LCV" dataDxfId="313"/>
    <tableColumn id="49" xr3:uid="{00000000-0010-0000-0200-000031000000}" name="KJM.LCV" dataDxfId="312"/>
    <tableColumn id="50" xr3:uid="{00000000-0010-0000-0200-000032000000}" name="DBP.LCV" dataDxfId="311"/>
    <tableColumn id="51" xr3:uid="{00000000-0010-0000-0200-000033000000}" name="IBP.LCV" dataDxfId="310"/>
    <tableColumn id="52" xr3:uid="{00000000-0010-0000-0200-000034000000}" name="RMB.LCV" dataDxfId="309"/>
    <tableColumn id="53" xr3:uid="{00000000-0010-0000-0200-000035000000}" name="BUM.LCV" dataDxfId="308"/>
    <tableColumn id="54" xr3:uid="{00000000-0010-0000-0200-000036000000}" name="PSB.LCV" dataDxfId="307"/>
    <tableColumn id="55" xr3:uid="{00000000-0010-0000-0200-000037000000}" name="Total" dataDxfId="306"/>
    <tableColumn id="56" xr3:uid="{00000000-0010-0000-0200-000038000000}" name="Lay" dataDxfId="305"/>
    <tableColumn id="57" xr3:uid="{00000000-0010-0000-0200-000039000000}" name="can" dataDxfId="304"/>
    <tableColumn id="58" xr3:uid="{00000000-0010-0000-0200-00003A000000}" name="%" dataDxfId="303" dataCellStyle="Percent"/>
    <tableColumn id="59" xr3:uid="{00000000-0010-0000-0200-00003B000000}" name="Status" dataDxfId="302"/>
    <tableColumn id="60" xr3:uid="{00000000-0010-0000-0200-00003C000000}" name="FLF" dataDxfId="301" dataCellStyle="Percent"/>
    <tableColumn id="61" xr3:uid="{00000000-0010-0000-0200-00003D000000}" name="TM (AR)" dataDxfId="300"/>
    <tableColumn id="62" xr3:uid="{00000000-0010-0000-0200-00003E000000}" name="M (AD)" dataDxfId="299"/>
    <tableColumn id="63" xr3:uid="{00000000-0010-0000-0200-00003F000000}" name="ASH (AD)" dataDxfId="298"/>
    <tableColumn id="64" xr3:uid="{00000000-0010-0000-0200-000040000000}" name="ASH (AR)" dataDxfId="297"/>
    <tableColumn id="65" xr3:uid="{00000000-0010-0000-0200-000041000000}" name="TS (AD)" dataDxfId="296"/>
    <tableColumn id="66" xr3:uid="{00000000-0010-0000-0200-000042000000}" name="TS (AR)" dataDxfId="295"/>
    <tableColumn id="67" xr3:uid="{00000000-0010-0000-0200-000043000000}" name="CV (AD)" dataDxfId="294"/>
    <tableColumn id="68" xr3:uid="{00000000-0010-0000-0200-000044000000}" name="CV (AR)" dataDxfId="293"/>
    <tableColumn id="69" xr3:uid="{00000000-0010-0000-0200-000045000000}" name="CV (NAR)" dataDxfId="292"/>
    <tableColumn id="70" xr3:uid="{00000000-0010-0000-0200-000046000000}" name="PW0" dataDxfId="291" dataCellStyle="Percent"/>
    <tableColumn id="71" xr3:uid="{00000000-0010-0000-0200-000047000000}" name="PW1" dataDxfId="290" dataCellStyle="Percent"/>
    <tableColumn id="72" xr3:uid="{00000000-0010-0000-0200-000048000000}" name="PW2" dataDxfId="289" dataCellStyle="Percent"/>
    <tableColumn id="73" xr3:uid="{00000000-0010-0000-0200-000049000000}" name="PW3" dataDxfId="288" dataCellStyle="Percent"/>
    <tableColumn id="74" xr3:uid="{00000000-0010-0000-0200-00004A000000}" name="PW4" dataDxfId="287" dataCellStyle="Percent"/>
    <tableColumn id="75" xr3:uid="{00000000-0010-0000-0200-00004B000000}" name="PW5" dataDxfId="286" dataCellStyle="Percent"/>
    <tableColumn id="76" xr3:uid="{00000000-0010-0000-0200-00004C000000}" name="Act" dataDxfId="285" dataCellStyle="Percent"/>
    <tableColumn id="77" xr3:uid="{00000000-0010-0000-0200-00004D000000}" name="DW0" dataDxfId="284"/>
    <tableColumn id="78" xr3:uid="{00000000-0010-0000-0200-00004E000000}" name="DW1" dataDxfId="283"/>
    <tableColumn id="79" xr3:uid="{00000000-0010-0000-0200-00004F000000}" name="DW2" dataDxfId="282"/>
    <tableColumn id="80" xr3:uid="{00000000-0010-0000-0200-000050000000}" name="DW3" dataDxfId="281" dataCellStyle="Percent"/>
    <tableColumn id="81" xr3:uid="{00000000-0010-0000-0200-000051000000}" name="DW4" dataDxfId="280" dataCellStyle="Percent"/>
    <tableColumn id="82" xr3:uid="{00000000-0010-0000-0200-000052000000}" name="DW5" dataDxfId="279" dataCellStyle="Percent"/>
    <tableColumn id="83" xr3:uid="{00000000-0010-0000-0200-000053000000}" name="Act_1" dataDxfId="278" dataCellStyle="Percent"/>
    <tableColumn id="84" xr3:uid="{00000000-0010-0000-0200-000054000000}" name="GLR" dataDxfId="277"/>
    <tableColumn id="86" xr3:uid="{00000000-0010-0000-0200-000056000000}" name="Column85" dataDxfId="276" dataCellStyle="Percent"/>
    <tableColumn id="87" xr3:uid="{00000000-0010-0000-0200-000057000000}" name="Column86" dataDxfId="275" dataCellStyle="Percent"/>
    <tableColumn id="88" xr3:uid="{00000000-0010-0000-0200-000058000000}" name="Column87" dataDxfId="274" dataCellStyle="Percent"/>
    <tableColumn id="89" xr3:uid="{00000000-0010-0000-0200-000059000000}" name="Column88" dataDxfId="273" dataCellStyle="Perc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Month3" displayName="TableMonth3" ref="A3:CK41" totalsRowShown="0" headerRowDxfId="272" dataDxfId="271" dataCellStyle="Percent">
  <autoFilter ref="A3:CK41" xr:uid="{00000000-0009-0000-0100-000004000000}"/>
  <tableColumns count="89">
    <tableColumn id="1" xr3:uid="{00000000-0010-0000-0300-000001000000}" name="No." dataDxfId="270"/>
    <tableColumn id="90" xr3:uid="{00000000-0010-0000-0300-00005A000000}" name="No Mahakam" dataDxfId="269"/>
    <tableColumn id="2" xr3:uid="{00000000-0010-0000-0300-000002000000}" name="Month" dataDxfId="268"/>
    <tableColumn id="3" xr3:uid="{00000000-0010-0000-0300-000003000000}" name="Company" dataDxfId="267"/>
    <tableColumn id="4" xr3:uid="{00000000-0010-0000-0300-000004000000}" name="Tyoe of Shipment" dataDxfId="266"/>
    <tableColumn id="5" xr3:uid="{00000000-0010-0000-0300-000005000000}" name="Name of Vessel" dataDxfId="265"/>
    <tableColumn id="6" xr3:uid="{00000000-0010-0000-0300-000006000000}" name="Buyer" dataDxfId="264"/>
    <tableColumn id="7" xr3:uid="{00000000-0010-0000-0300-000007000000}" name="End user" dataDxfId="263"/>
    <tableColumn id="8" xr3:uid="{00000000-0010-0000-0300-000008000000}" name="Load Port" dataDxfId="262"/>
    <tableColumn id="9" xr3:uid="{00000000-0010-0000-0300-000009000000}" name="ETA/ATA" dataDxfId="261"/>
    <tableColumn id="10" xr3:uid="{00000000-0010-0000-0300-00000A000000}" name="ETB" dataDxfId="260"/>
    <tableColumn id="11" xr3:uid="{00000000-0010-0000-0300-00000B000000}" name="ETD" dataDxfId="259"/>
    <tableColumn id="12" xr3:uid="{00000000-0010-0000-0300-00000C000000}" name="IMM-WB.HCV.LS" dataDxfId="258"/>
    <tableColumn id="13" xr3:uid="{00000000-0010-0000-0300-00000D000000}" name="IMM-WB.MCV.HS" dataDxfId="257"/>
    <tableColumn id="14" xr3:uid="{00000000-0010-0000-0300-00000E000000}" name="IMM-EB.MCV.LS" dataDxfId="256"/>
    <tableColumn id="15" xr3:uid="{00000000-0010-0000-0300-00000F000000}" name="IMM-EB.MCV.MS" dataDxfId="255"/>
    <tableColumn id="16" xr3:uid="{00000000-0010-0000-0300-000010000000}" name="IMM-EB.MCV.HS" dataDxfId="254"/>
    <tableColumn id="17" xr3:uid="{00000000-0010-0000-0300-000011000000}" name="TCM.HCV.LS " dataDxfId="253"/>
    <tableColumn id="18" xr3:uid="{00000000-0010-0000-0300-000012000000}" name="TCM.HCV.HS " dataDxfId="252"/>
    <tableColumn id="19" xr3:uid="{00000000-0010-0000-0300-000013000000}" name="TCM.HCV.MS" dataDxfId="251"/>
    <tableColumn id="20" xr3:uid="{00000000-0010-0000-0300-000014000000}" name="BEK.MCV.LS" dataDxfId="250"/>
    <tableColumn id="21" xr3:uid="{00000000-0010-0000-0300-000015000000}" name="BEK.HCV.MS" dataDxfId="249"/>
    <tableColumn id="22" xr3:uid="{00000000-0010-0000-0300-000016000000}" name="JBG" dataDxfId="248"/>
    <tableColumn id="23" xr3:uid="{00000000-0010-0000-0300-000017000000}" name="GPK" dataDxfId="247"/>
    <tableColumn id="24" xr3:uid="{00000000-0010-0000-0300-000018000000}" name="EBH.HCV" dataDxfId="246"/>
    <tableColumn id="25" xr3:uid="{00000000-0010-0000-0300-000019000000}" name="SHORE.HCV" dataDxfId="245"/>
    <tableColumn id="26" xr3:uid="{00000000-0010-0000-0300-00001A000000}" name="KMIA.MCV.LS" dataDxfId="244"/>
    <tableColumn id="27" xr3:uid="{00000000-0010-0000-0300-00001B000000}" name="BBE.MCV" dataDxfId="243"/>
    <tableColumn id="28" xr3:uid="{00000000-0010-0000-0300-00001C000000}" name="MBL.MCV" dataDxfId="242"/>
    <tableColumn id="29" xr3:uid="{00000000-0010-0000-0300-00001D000000}" name="JMB MCV" dataDxfId="241"/>
    <tableColumn id="30" xr3:uid="{00000000-0010-0000-0300-00001E000000}" name="GHP.MCV" dataDxfId="240"/>
    <tableColumn id="31" xr3:uid="{00000000-0010-0000-0300-00001F000000}" name="EMJ.MCV" dataDxfId="239"/>
    <tableColumn id="32" xr3:uid="{00000000-0010-0000-0300-000020000000}" name="PEY.MCV" dataDxfId="238"/>
    <tableColumn id="33" xr3:uid="{00000000-0010-0000-0300-000021000000}" name="KBM.MCV" dataDxfId="237"/>
    <tableColumn id="34" xr3:uid="{00000000-0010-0000-0300-000022000000}" name="IKJ MCV" dataDxfId="236"/>
    <tableColumn id="35" xr3:uid="{00000000-0010-0000-0300-000023000000}" name="PUMA MCV" dataDxfId="235"/>
    <tableColumn id="36" xr3:uid="{00000000-0010-0000-0300-000024000000}" name="AUB" dataDxfId="234"/>
    <tableColumn id="37" xr3:uid="{00000000-0010-0000-0300-000025000000}" name="BAR" dataDxfId="233"/>
    <tableColumn id="38" xr3:uid="{00000000-0010-0000-0300-000026000000}" name="KJA.LCV.LS" dataDxfId="232"/>
    <tableColumn id="39" xr3:uid="{00000000-0010-0000-0300-000027000000}" name="JHN.LCV" dataDxfId="231"/>
    <tableColumn id="40" xr3:uid="{00000000-0010-0000-0300-000028000000}" name="DMP.LCV" dataDxfId="230"/>
    <tableColumn id="41" xr3:uid="{00000000-0010-0000-0300-000029000000}" name="MCM.LCV" dataDxfId="229"/>
    <tableColumn id="42" xr3:uid="{00000000-0010-0000-0300-00002A000000}" name="BMM.LCV" dataDxfId="228"/>
    <tableColumn id="43" xr3:uid="{00000000-0010-0000-0300-00002B000000}" name="ABA.LCV" dataDxfId="227"/>
    <tableColumn id="44" xr3:uid="{00000000-0010-0000-0300-00002C000000}" name="BBA.LCV" dataDxfId="226"/>
    <tableColumn id="45" xr3:uid="{00000000-0010-0000-0300-00002D000000}" name="MML.LCV" dataDxfId="225"/>
    <tableColumn id="46" xr3:uid="{00000000-0010-0000-0300-00002E000000}" name="SJA.LCV" dataDxfId="224"/>
    <tableColumn id="47" xr3:uid="{00000000-0010-0000-0300-00002F000000}" name="KWA.LCV" dataDxfId="223"/>
    <tableColumn id="48" xr3:uid="{00000000-0010-0000-0300-000030000000}" name="KPM.LCV" dataDxfId="222"/>
    <tableColumn id="49" xr3:uid="{00000000-0010-0000-0300-000031000000}" name="KJM.LCV" dataDxfId="221"/>
    <tableColumn id="50" xr3:uid="{00000000-0010-0000-0300-000032000000}" name="DBP.LCV" dataDxfId="220"/>
    <tableColumn id="51" xr3:uid="{00000000-0010-0000-0300-000033000000}" name="IBP.LCV" dataDxfId="219"/>
    <tableColumn id="52" xr3:uid="{00000000-0010-0000-0300-000034000000}" name="RMB.LCV" dataDxfId="218"/>
    <tableColumn id="53" xr3:uid="{00000000-0010-0000-0300-000035000000}" name="BUM.LCV" dataDxfId="217"/>
    <tableColumn id="54" xr3:uid="{00000000-0010-0000-0300-000036000000}" name="PSB.LCV" dataDxfId="216"/>
    <tableColumn id="55" xr3:uid="{00000000-0010-0000-0300-000037000000}" name="Total" dataDxfId="215"/>
    <tableColumn id="56" xr3:uid="{00000000-0010-0000-0300-000038000000}" name="Lay" dataDxfId="214"/>
    <tableColumn id="57" xr3:uid="{00000000-0010-0000-0300-000039000000}" name="can" dataDxfId="213"/>
    <tableColumn id="58" xr3:uid="{00000000-0010-0000-0300-00003A000000}" name="%" dataDxfId="212" dataCellStyle="Percent"/>
    <tableColumn id="59" xr3:uid="{00000000-0010-0000-0300-00003B000000}" name="Status" dataDxfId="211"/>
    <tableColumn id="60" xr3:uid="{00000000-0010-0000-0300-00003C000000}" name="FLF" dataDxfId="210" dataCellStyle="Percent"/>
    <tableColumn id="61" xr3:uid="{00000000-0010-0000-0300-00003D000000}" name="TM (AR)" dataDxfId="209"/>
    <tableColumn id="62" xr3:uid="{00000000-0010-0000-0300-00003E000000}" name="M (AD)" dataDxfId="208"/>
    <tableColumn id="63" xr3:uid="{00000000-0010-0000-0300-00003F000000}" name="ASH (AD)" dataDxfId="207"/>
    <tableColumn id="64" xr3:uid="{00000000-0010-0000-0300-000040000000}" name="ASH (AR)" dataDxfId="206"/>
    <tableColumn id="65" xr3:uid="{00000000-0010-0000-0300-000041000000}" name="TS (AD)" dataDxfId="205"/>
    <tableColumn id="66" xr3:uid="{00000000-0010-0000-0300-000042000000}" name="TS (AR)" dataDxfId="204"/>
    <tableColumn id="67" xr3:uid="{00000000-0010-0000-0300-000043000000}" name="CV (AD)" dataDxfId="203"/>
    <tableColumn id="68" xr3:uid="{00000000-0010-0000-0300-000044000000}" name="CV (AR)" dataDxfId="202"/>
    <tableColumn id="69" xr3:uid="{00000000-0010-0000-0300-000045000000}" name="CV (NAR)" dataDxfId="201"/>
    <tableColumn id="70" xr3:uid="{00000000-0010-0000-0300-000046000000}" name="PW0" dataDxfId="200" dataCellStyle="Percent"/>
    <tableColumn id="71" xr3:uid="{00000000-0010-0000-0300-000047000000}" name="PW1" dataDxfId="199" dataCellStyle="Percent"/>
    <tableColumn id="72" xr3:uid="{00000000-0010-0000-0300-000048000000}" name="PW2" dataDxfId="198" dataCellStyle="Percent"/>
    <tableColumn id="73" xr3:uid="{00000000-0010-0000-0300-000049000000}" name="PW3" dataDxfId="197" dataCellStyle="Percent"/>
    <tableColumn id="74" xr3:uid="{00000000-0010-0000-0300-00004A000000}" name="PW4" dataDxfId="196" dataCellStyle="Percent"/>
    <tableColumn id="75" xr3:uid="{00000000-0010-0000-0300-00004B000000}" name="PW5" dataDxfId="195" dataCellStyle="Percent"/>
    <tableColumn id="76" xr3:uid="{00000000-0010-0000-0300-00004C000000}" name="Act" dataDxfId="194" dataCellStyle="Percent"/>
    <tableColumn id="77" xr3:uid="{00000000-0010-0000-0300-00004D000000}" name="DW0" dataDxfId="193"/>
    <tableColumn id="78" xr3:uid="{00000000-0010-0000-0300-00004E000000}" name="DW1" dataDxfId="192" dataCellStyle="Percent"/>
    <tableColumn id="79" xr3:uid="{00000000-0010-0000-0300-00004F000000}" name="DW2" dataDxfId="191" dataCellStyle="Percent"/>
    <tableColumn id="80" xr3:uid="{00000000-0010-0000-0300-000050000000}" name="DW3" dataDxfId="190" dataCellStyle="Percent"/>
    <tableColumn id="81" xr3:uid="{00000000-0010-0000-0300-000051000000}" name="DW4" dataDxfId="189" dataCellStyle="Percent"/>
    <tableColumn id="82" xr3:uid="{00000000-0010-0000-0300-000052000000}" name="DW5" dataDxfId="188" dataCellStyle="Percent"/>
    <tableColumn id="83" xr3:uid="{00000000-0010-0000-0300-000053000000}" name="Act_1" dataDxfId="187" dataCellStyle="Percent"/>
    <tableColumn id="84" xr3:uid="{00000000-0010-0000-0300-000054000000}" name="GLR" dataDxfId="186"/>
    <tableColumn id="86" xr3:uid="{00000000-0010-0000-0300-000056000000}" name="Column85" dataDxfId="185" dataCellStyle="Percent"/>
    <tableColumn id="87" xr3:uid="{00000000-0010-0000-0300-000057000000}" name="Column86" dataDxfId="184" dataCellStyle="Percent"/>
    <tableColumn id="88" xr3:uid="{00000000-0010-0000-0300-000058000000}" name="Column87" dataDxfId="183" dataCellStyle="Percent"/>
    <tableColumn id="89" xr3:uid="{00000000-0010-0000-0300-000059000000}" name="Column88" dataDxfId="182" dataCellStyle="Perc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Month4" displayName="TableMonth4" ref="A3:CK44" totalsRowShown="0" headerRowDxfId="181" dataDxfId="180" dataCellStyle="Percent">
  <autoFilter ref="A3:CK44" xr:uid="{00000000-0009-0000-0100-000005000000}"/>
  <tableColumns count="89">
    <tableColumn id="1" xr3:uid="{00000000-0010-0000-0400-000001000000}" name="No." dataDxfId="179"/>
    <tableColumn id="90" xr3:uid="{00000000-0010-0000-0400-00005A000000}" name="No Mahakam" dataDxfId="178"/>
    <tableColumn id="2" xr3:uid="{00000000-0010-0000-0400-000002000000}" name="Month" dataDxfId="177"/>
    <tableColumn id="3" xr3:uid="{00000000-0010-0000-0400-000003000000}" name="Company" dataDxfId="176"/>
    <tableColumn id="4" xr3:uid="{00000000-0010-0000-0400-000004000000}" name="Tyoe of Shipment" dataDxfId="175"/>
    <tableColumn id="5" xr3:uid="{00000000-0010-0000-0400-000005000000}" name="Name of Vessel" dataDxfId="174"/>
    <tableColumn id="6" xr3:uid="{00000000-0010-0000-0400-000006000000}" name="Buyer" dataDxfId="173"/>
    <tableColumn id="7" xr3:uid="{00000000-0010-0000-0400-000007000000}" name="End user" dataDxfId="172"/>
    <tableColumn id="8" xr3:uid="{00000000-0010-0000-0400-000008000000}" name="Load Port" dataDxfId="171"/>
    <tableColumn id="9" xr3:uid="{00000000-0010-0000-0400-000009000000}" name="ETA/ATA" dataDxfId="170"/>
    <tableColumn id="10" xr3:uid="{00000000-0010-0000-0400-00000A000000}" name="ETB" dataDxfId="169"/>
    <tableColumn id="11" xr3:uid="{00000000-0010-0000-0400-00000B000000}" name="ETD" dataDxfId="168"/>
    <tableColumn id="12" xr3:uid="{00000000-0010-0000-0400-00000C000000}" name="IMM-WB.HCV.LS" dataDxfId="167"/>
    <tableColumn id="13" xr3:uid="{00000000-0010-0000-0400-00000D000000}" name="IMM-WB.MCV.HS" dataDxfId="166"/>
    <tableColumn id="14" xr3:uid="{00000000-0010-0000-0400-00000E000000}" name="IMM-EB.MCV.LS" dataDxfId="165"/>
    <tableColumn id="15" xr3:uid="{00000000-0010-0000-0400-00000F000000}" name="IMM-EB.MCV.MS" dataDxfId="164"/>
    <tableColumn id="16" xr3:uid="{00000000-0010-0000-0400-000010000000}" name="IMM-EB.MCV.HS" dataDxfId="163"/>
    <tableColumn id="17" xr3:uid="{00000000-0010-0000-0400-000011000000}" name="TCM.HCV.LS " dataDxfId="162"/>
    <tableColumn id="18" xr3:uid="{00000000-0010-0000-0400-000012000000}" name="TCM.HCV.HS " dataDxfId="161"/>
    <tableColumn id="19" xr3:uid="{00000000-0010-0000-0400-000013000000}" name="TCM.HCV.MS" dataDxfId="160"/>
    <tableColumn id="20" xr3:uid="{00000000-0010-0000-0400-000014000000}" name="BEK.MCV.LS" dataDxfId="159"/>
    <tableColumn id="21" xr3:uid="{00000000-0010-0000-0400-000015000000}" name="BEK.HCV.MS" dataDxfId="158"/>
    <tableColumn id="22" xr3:uid="{00000000-0010-0000-0400-000016000000}" name="JBG" dataDxfId="157"/>
    <tableColumn id="23" xr3:uid="{00000000-0010-0000-0400-000017000000}" name="GPK" dataDxfId="156"/>
    <tableColumn id="24" xr3:uid="{00000000-0010-0000-0400-000018000000}" name="EBH.HCV" dataDxfId="155"/>
    <tableColumn id="25" xr3:uid="{00000000-0010-0000-0400-000019000000}" name="SHORE.HCV" dataDxfId="154"/>
    <tableColumn id="26" xr3:uid="{00000000-0010-0000-0400-00001A000000}" name="KMIA.MCV.LS" dataDxfId="153"/>
    <tableColumn id="27" xr3:uid="{00000000-0010-0000-0400-00001B000000}" name="BBE.MCV" dataDxfId="152"/>
    <tableColumn id="28" xr3:uid="{00000000-0010-0000-0400-00001C000000}" name="MBL.MCV" dataDxfId="151"/>
    <tableColumn id="29" xr3:uid="{00000000-0010-0000-0400-00001D000000}" name="JMB MCV" dataDxfId="150"/>
    <tableColumn id="30" xr3:uid="{00000000-0010-0000-0400-00001E000000}" name="GHP.MCV" dataDxfId="149"/>
    <tableColumn id="31" xr3:uid="{00000000-0010-0000-0400-00001F000000}" name="EMJ.MCV" dataDxfId="148"/>
    <tableColumn id="32" xr3:uid="{00000000-0010-0000-0400-000020000000}" name="PEY.MCV" dataDxfId="147"/>
    <tableColumn id="33" xr3:uid="{00000000-0010-0000-0400-000021000000}" name="KBM.MCV" dataDxfId="146"/>
    <tableColumn id="34" xr3:uid="{00000000-0010-0000-0400-000022000000}" name="IKJ MCV" dataDxfId="145"/>
    <tableColumn id="35" xr3:uid="{00000000-0010-0000-0400-000023000000}" name="PUMA MCV" dataDxfId="144"/>
    <tableColumn id="36" xr3:uid="{00000000-0010-0000-0400-000024000000}" name="AUB" dataDxfId="143"/>
    <tableColumn id="37" xr3:uid="{00000000-0010-0000-0400-000025000000}" name="BAR" dataDxfId="142"/>
    <tableColumn id="38" xr3:uid="{00000000-0010-0000-0400-000026000000}" name="KJA.LCV.LS" dataDxfId="141"/>
    <tableColumn id="39" xr3:uid="{00000000-0010-0000-0400-000027000000}" name="JHN.LCV" dataDxfId="140"/>
    <tableColumn id="40" xr3:uid="{00000000-0010-0000-0400-000028000000}" name="DMP.LCV" dataDxfId="139"/>
    <tableColumn id="41" xr3:uid="{00000000-0010-0000-0400-000029000000}" name="MCM.LCV" dataDxfId="138"/>
    <tableColumn id="42" xr3:uid="{00000000-0010-0000-0400-00002A000000}" name="BMM.LCV" dataDxfId="137"/>
    <tableColumn id="43" xr3:uid="{00000000-0010-0000-0400-00002B000000}" name="ABA.LCV" dataDxfId="136"/>
    <tableColumn id="44" xr3:uid="{00000000-0010-0000-0400-00002C000000}" name="BBA.LCV" dataDxfId="135"/>
    <tableColumn id="45" xr3:uid="{00000000-0010-0000-0400-00002D000000}" name="MML.LCV" dataDxfId="134"/>
    <tableColumn id="46" xr3:uid="{00000000-0010-0000-0400-00002E000000}" name="SJA.LCV" dataDxfId="133"/>
    <tableColumn id="47" xr3:uid="{00000000-0010-0000-0400-00002F000000}" name="KWA.LCV" dataDxfId="132"/>
    <tableColumn id="48" xr3:uid="{00000000-0010-0000-0400-000030000000}" name="KPM.LCV" dataDxfId="131"/>
    <tableColumn id="49" xr3:uid="{00000000-0010-0000-0400-000031000000}" name="KJM.LCV" dataDxfId="130"/>
    <tableColumn id="50" xr3:uid="{00000000-0010-0000-0400-000032000000}" name="DBP.LCV" dataDxfId="129"/>
    <tableColumn id="51" xr3:uid="{00000000-0010-0000-0400-000033000000}" name="IBP.LCV" dataDxfId="128"/>
    <tableColumn id="52" xr3:uid="{00000000-0010-0000-0400-000034000000}" name="RMB.LCV" dataDxfId="127"/>
    <tableColumn id="53" xr3:uid="{00000000-0010-0000-0400-000035000000}" name="BUM.LCV" dataDxfId="126"/>
    <tableColumn id="54" xr3:uid="{00000000-0010-0000-0400-000036000000}" name="PSB.LCV" dataDxfId="125"/>
    <tableColumn id="55" xr3:uid="{00000000-0010-0000-0400-000037000000}" name="Total" dataDxfId="124"/>
    <tableColumn id="56" xr3:uid="{00000000-0010-0000-0400-000038000000}" name="Lay" dataDxfId="123"/>
    <tableColumn id="57" xr3:uid="{00000000-0010-0000-0400-000039000000}" name="can" dataDxfId="122"/>
    <tableColumn id="58" xr3:uid="{00000000-0010-0000-0400-00003A000000}" name="%" dataDxfId="121" dataCellStyle="Percent"/>
    <tableColumn id="59" xr3:uid="{00000000-0010-0000-0400-00003B000000}" name="Status" dataDxfId="120"/>
    <tableColumn id="60" xr3:uid="{00000000-0010-0000-0400-00003C000000}" name="FLF" dataDxfId="119" dataCellStyle="Percent"/>
    <tableColumn id="61" xr3:uid="{00000000-0010-0000-0400-00003D000000}" name="TM (AR)" dataDxfId="118"/>
    <tableColumn id="62" xr3:uid="{00000000-0010-0000-0400-00003E000000}" name="M (AD)" dataDxfId="117"/>
    <tableColumn id="63" xr3:uid="{00000000-0010-0000-0400-00003F000000}" name="ASH (AD)" dataDxfId="116"/>
    <tableColumn id="64" xr3:uid="{00000000-0010-0000-0400-000040000000}" name="ASH (AR)" dataDxfId="115"/>
    <tableColumn id="65" xr3:uid="{00000000-0010-0000-0400-000041000000}" name="TS (AD)" dataDxfId="114"/>
    <tableColumn id="66" xr3:uid="{00000000-0010-0000-0400-000042000000}" name="TS (AR)" dataDxfId="113"/>
    <tableColumn id="67" xr3:uid="{00000000-0010-0000-0400-000043000000}" name="CV (AD)" dataDxfId="112"/>
    <tableColumn id="68" xr3:uid="{00000000-0010-0000-0400-000044000000}" name="CV (AR)" dataDxfId="111"/>
    <tableColumn id="69" xr3:uid="{00000000-0010-0000-0400-000045000000}" name="CV (NAR)" dataDxfId="110"/>
    <tableColumn id="70" xr3:uid="{00000000-0010-0000-0400-000046000000}" name="PW0" dataDxfId="109" dataCellStyle="Percent"/>
    <tableColumn id="71" xr3:uid="{00000000-0010-0000-0400-000047000000}" name="PW1" dataDxfId="108" dataCellStyle="Percent"/>
    <tableColumn id="72" xr3:uid="{00000000-0010-0000-0400-000048000000}" name="PW2" dataDxfId="107" dataCellStyle="Percent"/>
    <tableColumn id="73" xr3:uid="{00000000-0010-0000-0400-000049000000}" name="PW3" dataDxfId="106" dataCellStyle="Percent"/>
    <tableColumn id="74" xr3:uid="{00000000-0010-0000-0400-00004A000000}" name="PW4" dataDxfId="105" dataCellStyle="Percent"/>
    <tableColumn id="75" xr3:uid="{00000000-0010-0000-0400-00004B000000}" name="PW5" dataDxfId="104" dataCellStyle="Percent"/>
    <tableColumn id="76" xr3:uid="{00000000-0010-0000-0400-00004C000000}" name="Act" dataDxfId="103" dataCellStyle="Percent"/>
    <tableColumn id="77" xr3:uid="{00000000-0010-0000-0400-00004D000000}" name="DW0" dataDxfId="102"/>
    <tableColumn id="78" xr3:uid="{00000000-0010-0000-0400-00004E000000}" name="DW1" dataDxfId="101" dataCellStyle="Percent"/>
    <tableColumn id="79" xr3:uid="{00000000-0010-0000-0400-00004F000000}" name="DW2" dataDxfId="100" dataCellStyle="Percent"/>
    <tableColumn id="80" xr3:uid="{00000000-0010-0000-0400-000050000000}" name="DW3" dataDxfId="99" dataCellStyle="Percent"/>
    <tableColumn id="81" xr3:uid="{00000000-0010-0000-0400-000051000000}" name="DW4" dataDxfId="98" dataCellStyle="Percent"/>
    <tableColumn id="82" xr3:uid="{00000000-0010-0000-0400-000052000000}" name="DW5" dataDxfId="97" dataCellStyle="Percent"/>
    <tableColumn id="83" xr3:uid="{00000000-0010-0000-0400-000053000000}" name="Act_1" dataDxfId="96" dataCellStyle="Percent"/>
    <tableColumn id="84" xr3:uid="{00000000-0010-0000-0400-000054000000}" name="GLR" dataDxfId="95"/>
    <tableColumn id="86" xr3:uid="{00000000-0010-0000-0400-000056000000}" name="Column85" dataDxfId="94" dataCellStyle="Percent"/>
    <tableColumn id="87" xr3:uid="{00000000-0010-0000-0400-000057000000}" name="Column86" dataDxfId="93" dataCellStyle="Percent"/>
    <tableColumn id="88" xr3:uid="{00000000-0010-0000-0400-000058000000}" name="Column87" dataDxfId="92" dataCellStyle="Percent"/>
    <tableColumn id="89" xr3:uid="{00000000-0010-0000-0400-000059000000}" name="Column88" dataDxfId="91" dataCellStyle="Perce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Month47" displayName="TableMonth47" ref="A3:CK48" totalsRowShown="0" headerRowDxfId="90" dataDxfId="89" dataCellStyle="Percent">
  <autoFilter ref="A3:CK48" xr:uid="{00000000-0009-0000-0100-000006000000}"/>
  <tableColumns count="89">
    <tableColumn id="1" xr3:uid="{00000000-0010-0000-0500-000001000000}" name="No." dataDxfId="88"/>
    <tableColumn id="90" xr3:uid="{00000000-0010-0000-0500-00005A000000}" name="No Mahakam" dataDxfId="87"/>
    <tableColumn id="2" xr3:uid="{00000000-0010-0000-0500-000002000000}" name="Month" dataDxfId="86"/>
    <tableColumn id="3" xr3:uid="{00000000-0010-0000-0500-000003000000}" name="Company" dataDxfId="85"/>
    <tableColumn id="4" xr3:uid="{00000000-0010-0000-0500-000004000000}" name="Tyoe of Shipment" dataDxfId="84"/>
    <tableColumn id="5" xr3:uid="{00000000-0010-0000-0500-000005000000}" name="Name of Vessel" dataDxfId="83"/>
    <tableColumn id="6" xr3:uid="{00000000-0010-0000-0500-000006000000}" name="Buyer" dataDxfId="82"/>
    <tableColumn id="7" xr3:uid="{00000000-0010-0000-0500-000007000000}" name="End user" dataDxfId="81"/>
    <tableColumn id="8" xr3:uid="{00000000-0010-0000-0500-000008000000}" name="Load Port" dataDxfId="80"/>
    <tableColumn id="9" xr3:uid="{00000000-0010-0000-0500-000009000000}" name="ETA/ATA" dataDxfId="79"/>
    <tableColumn id="10" xr3:uid="{00000000-0010-0000-0500-00000A000000}" name="ETB" dataDxfId="78"/>
    <tableColumn id="11" xr3:uid="{00000000-0010-0000-0500-00000B000000}" name="ETD" dataDxfId="77"/>
    <tableColumn id="12" xr3:uid="{00000000-0010-0000-0500-00000C000000}" name="IMM-WB.HCV.LS" dataDxfId="76"/>
    <tableColumn id="13" xr3:uid="{00000000-0010-0000-0500-00000D000000}" name="IMM-WB.MCV.HS" dataDxfId="75"/>
    <tableColumn id="14" xr3:uid="{00000000-0010-0000-0500-00000E000000}" name="IMM-EB.MCV.LS" dataDxfId="74"/>
    <tableColumn id="15" xr3:uid="{00000000-0010-0000-0500-00000F000000}" name="IMM-EB.MCV.MS" dataDxfId="73"/>
    <tableColumn id="16" xr3:uid="{00000000-0010-0000-0500-000010000000}" name="IMM-EB.MCV.HS" dataDxfId="72"/>
    <tableColumn id="17" xr3:uid="{00000000-0010-0000-0500-000011000000}" name="TCM.HCV.LS " dataDxfId="71"/>
    <tableColumn id="18" xr3:uid="{00000000-0010-0000-0500-000012000000}" name="TCM.HCV.HS " dataDxfId="70"/>
    <tableColumn id="19" xr3:uid="{00000000-0010-0000-0500-000013000000}" name="TCM.HCV.MS" dataDxfId="69"/>
    <tableColumn id="20" xr3:uid="{00000000-0010-0000-0500-000014000000}" name="BEK.MCV.LS" dataDxfId="68"/>
    <tableColumn id="21" xr3:uid="{00000000-0010-0000-0500-000015000000}" name="BEK.HCV.MS" dataDxfId="67"/>
    <tableColumn id="22" xr3:uid="{00000000-0010-0000-0500-000016000000}" name="JBG" dataDxfId="66"/>
    <tableColumn id="23" xr3:uid="{00000000-0010-0000-0500-000017000000}" name="GPK" dataDxfId="65"/>
    <tableColumn id="24" xr3:uid="{00000000-0010-0000-0500-000018000000}" name="EBH.HCV" dataDxfId="64"/>
    <tableColumn id="25" xr3:uid="{00000000-0010-0000-0500-000019000000}" name="SHORE.HCV" dataDxfId="63"/>
    <tableColumn id="26" xr3:uid="{00000000-0010-0000-0500-00001A000000}" name="KMIA.MCV.LS" dataDxfId="62"/>
    <tableColumn id="27" xr3:uid="{00000000-0010-0000-0500-00001B000000}" name="BBE.MCV" dataDxfId="61"/>
    <tableColumn id="28" xr3:uid="{00000000-0010-0000-0500-00001C000000}" name="MBL.MCV" dataDxfId="60"/>
    <tableColumn id="29" xr3:uid="{00000000-0010-0000-0500-00001D000000}" name="JMB MCV" dataDxfId="59"/>
    <tableColumn id="30" xr3:uid="{00000000-0010-0000-0500-00001E000000}" name="GHP.MCV" dataDxfId="58"/>
    <tableColumn id="31" xr3:uid="{00000000-0010-0000-0500-00001F000000}" name="EMJ.MCV" dataDxfId="57"/>
    <tableColumn id="32" xr3:uid="{00000000-0010-0000-0500-000020000000}" name="PEY.MCV" dataDxfId="56"/>
    <tableColumn id="33" xr3:uid="{00000000-0010-0000-0500-000021000000}" name="KBM.MCV" dataDxfId="55"/>
    <tableColumn id="34" xr3:uid="{00000000-0010-0000-0500-000022000000}" name="IKJ MCV" dataDxfId="54"/>
    <tableColumn id="35" xr3:uid="{00000000-0010-0000-0500-000023000000}" name="PUMA MCV" dataDxfId="53"/>
    <tableColumn id="36" xr3:uid="{00000000-0010-0000-0500-000024000000}" name="AUB" dataDxfId="52"/>
    <tableColumn id="37" xr3:uid="{00000000-0010-0000-0500-000025000000}" name="BAR" dataDxfId="51"/>
    <tableColumn id="38" xr3:uid="{00000000-0010-0000-0500-000026000000}" name="KJA.LCV.LS" dataDxfId="50"/>
    <tableColumn id="39" xr3:uid="{00000000-0010-0000-0500-000027000000}" name="JHN.LCV" dataDxfId="49"/>
    <tableColumn id="40" xr3:uid="{00000000-0010-0000-0500-000028000000}" name="DMP.LCV" dataDxfId="48"/>
    <tableColumn id="41" xr3:uid="{00000000-0010-0000-0500-000029000000}" name="MCM.LCV" dataDxfId="47"/>
    <tableColumn id="42" xr3:uid="{00000000-0010-0000-0500-00002A000000}" name="BMM.LCV" dataDxfId="46"/>
    <tableColumn id="43" xr3:uid="{00000000-0010-0000-0500-00002B000000}" name="ABA.LCV" dataDxfId="45"/>
    <tableColumn id="44" xr3:uid="{00000000-0010-0000-0500-00002C000000}" name="BBA.LCV" dataDxfId="44"/>
    <tableColumn id="45" xr3:uid="{00000000-0010-0000-0500-00002D000000}" name="MML.LCV" dataDxfId="43"/>
    <tableColumn id="46" xr3:uid="{00000000-0010-0000-0500-00002E000000}" name="SJA.LCV" dataDxfId="42"/>
    <tableColumn id="47" xr3:uid="{00000000-0010-0000-0500-00002F000000}" name="KWA.LCV" dataDxfId="41"/>
    <tableColumn id="48" xr3:uid="{00000000-0010-0000-0500-000030000000}" name="KPM.LCV" dataDxfId="40"/>
    <tableColumn id="49" xr3:uid="{00000000-0010-0000-0500-000031000000}" name="KJM.LCV" dataDxfId="39"/>
    <tableColumn id="50" xr3:uid="{00000000-0010-0000-0500-000032000000}" name="DBP.LCV" dataDxfId="38"/>
    <tableColumn id="51" xr3:uid="{00000000-0010-0000-0500-000033000000}" name="IBP.LCV" dataDxfId="37"/>
    <tableColumn id="52" xr3:uid="{00000000-0010-0000-0500-000034000000}" name="RMB.LCV" dataDxfId="36"/>
    <tableColumn id="53" xr3:uid="{00000000-0010-0000-0500-000035000000}" name="BUM.LCV" dataDxfId="35"/>
    <tableColumn id="54" xr3:uid="{00000000-0010-0000-0500-000036000000}" name="PSB.LCV" dataDxfId="34"/>
    <tableColumn id="55" xr3:uid="{00000000-0010-0000-0500-000037000000}" name="Total" dataDxfId="33"/>
    <tableColumn id="56" xr3:uid="{00000000-0010-0000-0500-000038000000}" name="Lay" dataDxfId="32"/>
    <tableColumn id="57" xr3:uid="{00000000-0010-0000-0500-000039000000}" name="can" dataDxfId="31"/>
    <tableColumn id="58" xr3:uid="{00000000-0010-0000-0500-00003A000000}" name="%" dataDxfId="30" dataCellStyle="Percent"/>
    <tableColumn id="59" xr3:uid="{00000000-0010-0000-0500-00003B000000}" name="Status" dataDxfId="29"/>
    <tableColumn id="60" xr3:uid="{00000000-0010-0000-0500-00003C000000}" name="FLF" dataDxfId="28" dataCellStyle="Percent"/>
    <tableColumn id="61" xr3:uid="{00000000-0010-0000-0500-00003D000000}" name="TM (AR)" dataDxfId="27"/>
    <tableColumn id="62" xr3:uid="{00000000-0010-0000-0500-00003E000000}" name="M (AD)" dataDxfId="26"/>
    <tableColumn id="63" xr3:uid="{00000000-0010-0000-0500-00003F000000}" name="ASH (AD)" dataDxfId="25"/>
    <tableColumn id="64" xr3:uid="{00000000-0010-0000-0500-000040000000}" name="ASH (AR)" dataDxfId="24"/>
    <tableColumn id="65" xr3:uid="{00000000-0010-0000-0500-000041000000}" name="TS (AD)" dataDxfId="23"/>
    <tableColumn id="66" xr3:uid="{00000000-0010-0000-0500-000042000000}" name="TS (AR)" dataDxfId="22"/>
    <tableColumn id="67" xr3:uid="{00000000-0010-0000-0500-000043000000}" name="CV (AD)" dataDxfId="21"/>
    <tableColumn id="68" xr3:uid="{00000000-0010-0000-0500-000044000000}" name="CV (AR)" dataDxfId="20"/>
    <tableColumn id="69" xr3:uid="{00000000-0010-0000-0500-000045000000}" name="CV (NAR)" dataDxfId="19"/>
    <tableColumn id="70" xr3:uid="{00000000-0010-0000-0500-000046000000}" name="PW0" dataDxfId="18" dataCellStyle="Percent"/>
    <tableColumn id="71" xr3:uid="{00000000-0010-0000-0500-000047000000}" name="PW1" dataDxfId="17" dataCellStyle="Percent"/>
    <tableColumn id="72" xr3:uid="{00000000-0010-0000-0500-000048000000}" name="PW2" dataDxfId="16" dataCellStyle="Percent"/>
    <tableColumn id="73" xr3:uid="{00000000-0010-0000-0500-000049000000}" name="PW3" dataDxfId="15" dataCellStyle="Percent"/>
    <tableColumn id="74" xr3:uid="{00000000-0010-0000-0500-00004A000000}" name="PW4" dataDxfId="14" dataCellStyle="Percent"/>
    <tableColumn id="75" xr3:uid="{00000000-0010-0000-0500-00004B000000}" name="PW5" dataDxfId="13" dataCellStyle="Percent"/>
    <tableColumn id="76" xr3:uid="{00000000-0010-0000-0500-00004C000000}" name="Act" dataDxfId="12" dataCellStyle="Percent"/>
    <tableColumn id="77" xr3:uid="{00000000-0010-0000-0500-00004D000000}" name="DW0" dataDxfId="11"/>
    <tableColumn id="78" xr3:uid="{00000000-0010-0000-0500-00004E000000}" name="DW1" dataDxfId="10" dataCellStyle="Percent"/>
    <tableColumn id="79" xr3:uid="{00000000-0010-0000-0500-00004F000000}" name="DW2" dataDxfId="9" dataCellStyle="Percent"/>
    <tableColumn id="80" xr3:uid="{00000000-0010-0000-0500-000050000000}" name="DW3" dataDxfId="8" dataCellStyle="Percent"/>
    <tableColumn id="81" xr3:uid="{00000000-0010-0000-0500-000051000000}" name="DW4" dataDxfId="7" dataCellStyle="Percent"/>
    <tableColumn id="82" xr3:uid="{00000000-0010-0000-0500-000052000000}" name="DW5" dataDxfId="6" dataCellStyle="Percent"/>
    <tableColumn id="83" xr3:uid="{00000000-0010-0000-0500-000053000000}" name="Act_1" dataDxfId="5" dataCellStyle="Percent"/>
    <tableColumn id="84" xr3:uid="{00000000-0010-0000-0500-000054000000}" name="GLR" dataDxfId="4"/>
    <tableColumn id="86" xr3:uid="{00000000-0010-0000-0500-000056000000}" name="Column85" dataDxfId="3" dataCellStyle="Percent"/>
    <tableColumn id="87" xr3:uid="{00000000-0010-0000-0500-000057000000}" name="Column86" dataDxfId="2" dataCellStyle="Percent"/>
    <tableColumn id="88" xr3:uid="{00000000-0010-0000-0500-000058000000}" name="Column87" dataDxfId="1" dataCellStyle="Percent"/>
    <tableColumn id="89" xr3:uid="{00000000-0010-0000-0500-000059000000}" name="Column88" dataDxfId="0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3:ANX56"/>
  <sheetViews>
    <sheetView showGridLines="0" tabSelected="1" topLeftCell="BZ2" zoomScale="84" zoomScaleNormal="85" workbookViewId="0">
      <selection activeCell="CS4" sqref="CS4"/>
    </sheetView>
  </sheetViews>
  <sheetFormatPr defaultColWidth="8.5546875" defaultRowHeight="15" customHeight="1" outlineLevelCol="1"/>
  <cols>
    <col min="1" max="2" width="6" style="2" customWidth="1"/>
    <col min="3" max="3" width="8.5546875" style="2" customWidth="1"/>
    <col min="4" max="4" width="11.44140625" style="2" customWidth="1"/>
    <col min="5" max="5" width="19" style="2" customWidth="1"/>
    <col min="6" max="6" width="16.77734375" style="2" customWidth="1"/>
    <col min="7" max="7" width="12.77734375" style="2" customWidth="1"/>
    <col min="8" max="8" width="21.5546875" style="2" customWidth="1"/>
    <col min="9" max="9" width="11.77734375" style="2" customWidth="1"/>
    <col min="10" max="10" width="17.21875" style="3" bestFit="1" customWidth="1" outlineLevel="1"/>
    <col min="11" max="11" width="17.21875" style="37" customWidth="1" outlineLevel="1"/>
    <col min="12" max="12" width="17.21875" style="3" bestFit="1" customWidth="1" outlineLevel="1"/>
    <col min="13" max="13" width="17.21875" style="3" customWidth="1" outlineLevel="1"/>
    <col min="14" max="14" width="17.21875" style="3" bestFit="1" customWidth="1" outlineLevel="1"/>
    <col min="15" max="15" width="17.21875" style="3" customWidth="1" outlineLevel="1"/>
    <col min="16" max="16" width="18.21875" style="2" customWidth="1" outlineLevel="1"/>
    <col min="17" max="17" width="18.5546875" style="2" customWidth="1" outlineLevel="1"/>
    <col min="18" max="18" width="17.5546875" style="2" customWidth="1" outlineLevel="1"/>
    <col min="19" max="19" width="18.21875" style="2" customWidth="1" outlineLevel="1"/>
    <col min="20" max="20" width="17.77734375" style="2" customWidth="1" outlineLevel="1"/>
    <col min="21" max="21" width="14.77734375" style="2" customWidth="1" outlineLevel="1"/>
    <col min="22" max="22" width="15" style="2" customWidth="1" outlineLevel="1"/>
    <col min="23" max="23" width="14.5546875" style="2" customWidth="1" outlineLevel="1"/>
    <col min="24" max="24" width="14.21875" style="2" customWidth="1" outlineLevel="1"/>
    <col min="25" max="25" width="14.44140625" style="2" customWidth="1" outlineLevel="1"/>
    <col min="26" max="27" width="8" style="2" customWidth="1" outlineLevel="1"/>
    <col min="28" max="28" width="8.5546875" style="2" customWidth="1" outlineLevel="1"/>
    <col min="29" max="29" width="11.21875" style="2" customWidth="1" outlineLevel="1"/>
    <col min="30" max="30" width="13.5546875" style="4" customWidth="1" outlineLevel="1"/>
    <col min="31" max="31" width="15.44140625" style="2" customWidth="1" outlineLevel="1"/>
    <col min="32" max="32" width="12.5546875" style="2" customWidth="1" outlineLevel="1"/>
    <col min="33" max="34" width="11.44140625" style="2" customWidth="1" outlineLevel="1"/>
    <col min="35" max="35" width="11.44140625" style="4" customWidth="1" outlineLevel="1"/>
    <col min="36" max="36" width="11.21875" style="2" customWidth="1" outlineLevel="1"/>
    <col min="37" max="37" width="11.21875" style="4" customWidth="1" outlineLevel="1"/>
    <col min="38" max="38" width="11.5546875" style="4" customWidth="1" outlineLevel="1"/>
    <col min="39" max="39" width="10.77734375" style="4" customWidth="1" outlineLevel="1"/>
    <col min="40" max="40" width="12.77734375" style="4" customWidth="1" outlineLevel="1"/>
    <col min="41" max="42" width="10.44140625" style="4" customWidth="1" outlineLevel="1"/>
    <col min="43" max="43" width="13.44140625" style="4" customWidth="1" outlineLevel="1"/>
    <col min="44" max="44" width="10.5546875" style="4" customWidth="1" outlineLevel="1"/>
    <col min="45" max="45" width="11.21875" style="4" customWidth="1" outlineLevel="1"/>
    <col min="46" max="47" width="11.44140625" style="4" customWidth="1" outlineLevel="1"/>
    <col min="48" max="49" width="11" style="4" customWidth="1" outlineLevel="1"/>
    <col min="50" max="50" width="11.21875" style="4" customWidth="1" outlineLevel="1"/>
    <col min="51" max="51" width="10.5546875" style="4" customWidth="1" outlineLevel="1"/>
    <col min="52" max="52" width="11.5546875" style="4" customWidth="1" outlineLevel="1"/>
    <col min="53" max="53" width="11.21875" style="4" customWidth="1" outlineLevel="1"/>
    <col min="54" max="55" width="10.77734375" style="4" customWidth="1" outlineLevel="1"/>
    <col min="56" max="56" width="10.5546875" style="4" customWidth="1" outlineLevel="1"/>
    <col min="57" max="59" width="11.21875" style="4" customWidth="1" outlineLevel="1"/>
    <col min="60" max="61" width="10.77734375" style="4" customWidth="1" outlineLevel="1"/>
    <col min="62" max="66" width="10.44140625" style="4" customWidth="1" outlineLevel="1"/>
    <col min="67" max="67" width="10.44140625" style="2" customWidth="1" outlineLevel="1"/>
    <col min="68" max="68" width="12" style="2" bestFit="1" customWidth="1"/>
    <col min="69" max="69" width="21" style="5" customWidth="1" outlineLevel="1"/>
    <col min="70" max="70" width="10.5546875" style="5" customWidth="1" outlineLevel="1"/>
    <col min="71" max="71" width="9.44140625" style="2" customWidth="1"/>
    <col min="72" max="72" width="11.5546875" style="6" customWidth="1"/>
    <col min="73" max="73" width="18.44140625" style="2" customWidth="1"/>
    <col min="74" max="75" width="10.44140625" style="2" customWidth="1"/>
    <col min="76" max="77" width="10.5546875" style="2" customWidth="1"/>
    <col min="78" max="78" width="11.77734375" style="2" customWidth="1"/>
    <col min="79" max="79" width="9.5546875" style="2" customWidth="1"/>
    <col min="80" max="80" width="8.44140625" style="4" customWidth="1"/>
    <col min="81" max="81" width="8.5546875" style="4" customWidth="1"/>
    <col min="82" max="82" width="9.21875" style="4" customWidth="1"/>
    <col min="83" max="83" width="8.5546875" style="7" bestFit="1" customWidth="1"/>
    <col min="84" max="89" width="7.5546875" style="7" customWidth="1"/>
    <col min="90" max="90" width="7.21875" style="7" customWidth="1"/>
    <col min="91" max="91" width="8.5546875" style="7" bestFit="1" customWidth="1"/>
    <col min="92" max="92" width="7" style="7" customWidth="1"/>
    <col min="93" max="93" width="9.21875" style="7" bestFit="1" customWidth="1"/>
    <col min="94" max="94" width="14.77734375" style="2" customWidth="1"/>
    <col min="95" max="95" width="15.21875" style="2" customWidth="1"/>
    <col min="96" max="96" width="11" style="2" customWidth="1"/>
    <col min="97" max="97" width="14.44140625" style="2" customWidth="1"/>
    <col min="98" max="270" width="8.5546875" style="2" customWidth="1"/>
    <col min="271" max="16384" width="8.5546875" style="2"/>
  </cols>
  <sheetData>
    <row r="3" spans="1:97 1064:1064" ht="15" customHeight="1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36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17" t="s">
        <v>15</v>
      </c>
      <c r="Q3" s="17" t="s">
        <v>16</v>
      </c>
      <c r="R3" s="17" t="s">
        <v>17</v>
      </c>
      <c r="S3" s="17" t="s">
        <v>18</v>
      </c>
      <c r="T3" s="17" t="s">
        <v>19</v>
      </c>
      <c r="U3" s="17" t="s">
        <v>20</v>
      </c>
      <c r="V3" s="17" t="s">
        <v>21</v>
      </c>
      <c r="W3" s="17" t="s">
        <v>22</v>
      </c>
      <c r="X3" s="17" t="s">
        <v>23</v>
      </c>
      <c r="Y3" s="17" t="s">
        <v>24</v>
      </c>
      <c r="Z3" s="17" t="s">
        <v>25</v>
      </c>
      <c r="AA3" s="17" t="s">
        <v>26</v>
      </c>
      <c r="AB3" s="17" t="s">
        <v>27</v>
      </c>
      <c r="AC3" s="17" t="s">
        <v>28</v>
      </c>
      <c r="AD3" s="17" t="s">
        <v>29</v>
      </c>
      <c r="AE3" s="17" t="s">
        <v>30</v>
      </c>
      <c r="AF3" s="18" t="s">
        <v>31</v>
      </c>
      <c r="AG3" s="17" t="s">
        <v>32</v>
      </c>
      <c r="AH3" s="17" t="s">
        <v>33</v>
      </c>
      <c r="AI3" s="17" t="s">
        <v>34</v>
      </c>
      <c r="AJ3" s="17" t="s">
        <v>35</v>
      </c>
      <c r="AK3" s="17" t="s">
        <v>36</v>
      </c>
      <c r="AL3" s="17" t="s">
        <v>37</v>
      </c>
      <c r="AM3" s="17" t="s">
        <v>38</v>
      </c>
      <c r="AN3" s="17" t="s">
        <v>39</v>
      </c>
      <c r="AO3" s="30" t="s">
        <v>40</v>
      </c>
      <c r="AP3" s="19" t="s">
        <v>41</v>
      </c>
      <c r="AQ3" s="18" t="s">
        <v>42</v>
      </c>
      <c r="AR3" s="17" t="s">
        <v>43</v>
      </c>
      <c r="AS3" s="18" t="s">
        <v>44</v>
      </c>
      <c r="AT3" s="17" t="s">
        <v>45</v>
      </c>
      <c r="AU3" s="18" t="s">
        <v>46</v>
      </c>
      <c r="AV3" s="18" t="s">
        <v>47</v>
      </c>
      <c r="AW3" s="17" t="s">
        <v>48</v>
      </c>
      <c r="AX3" s="18" t="s">
        <v>49</v>
      </c>
      <c r="AY3" s="18" t="s">
        <v>50</v>
      </c>
      <c r="AZ3" s="17" t="s">
        <v>51</v>
      </c>
      <c r="BA3" s="17" t="s">
        <v>52</v>
      </c>
      <c r="BB3" s="17" t="s">
        <v>53</v>
      </c>
      <c r="BC3" s="17" t="s">
        <v>54</v>
      </c>
      <c r="BD3" s="17" t="s">
        <v>55</v>
      </c>
      <c r="BE3" s="17" t="s">
        <v>56</v>
      </c>
      <c r="BF3" s="17" t="s">
        <v>57</v>
      </c>
      <c r="BG3" s="17" t="s">
        <v>58</v>
      </c>
      <c r="BH3" s="17" t="s">
        <v>59</v>
      </c>
      <c r="BI3" s="17" t="s">
        <v>60</v>
      </c>
      <c r="BJ3" s="8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8" t="s">
        <v>66</v>
      </c>
      <c r="BP3" s="11" t="s">
        <v>67</v>
      </c>
      <c r="BQ3" s="8" t="s">
        <v>68</v>
      </c>
      <c r="BR3" s="8" t="s">
        <v>69</v>
      </c>
      <c r="BS3" s="8" t="s">
        <v>70</v>
      </c>
      <c r="BT3" s="8" t="s">
        <v>71</v>
      </c>
      <c r="BU3" s="8" t="s">
        <v>72</v>
      </c>
      <c r="BV3" s="8" t="s">
        <v>73</v>
      </c>
      <c r="BW3" s="8" t="s">
        <v>74</v>
      </c>
      <c r="BX3" s="10" t="s">
        <v>75</v>
      </c>
      <c r="BY3" s="10" t="s">
        <v>76</v>
      </c>
      <c r="BZ3" s="10" t="s">
        <v>77</v>
      </c>
      <c r="CA3" s="12" t="s">
        <v>78</v>
      </c>
      <c r="CB3" s="12" t="s">
        <v>79</v>
      </c>
      <c r="CC3" s="12" t="s">
        <v>80</v>
      </c>
      <c r="CD3" s="12" t="s">
        <v>81</v>
      </c>
      <c r="CE3" s="12" t="s">
        <v>82</v>
      </c>
      <c r="CF3" s="12" t="s">
        <v>83</v>
      </c>
      <c r="CG3" s="13" t="s">
        <v>84</v>
      </c>
      <c r="CH3" s="12" t="s">
        <v>85</v>
      </c>
      <c r="CI3" s="12" t="s">
        <v>86</v>
      </c>
      <c r="CJ3" s="12" t="s">
        <v>87</v>
      </c>
      <c r="CK3" s="12" t="s">
        <v>88</v>
      </c>
      <c r="CL3" s="12" t="s">
        <v>89</v>
      </c>
      <c r="CM3" s="12" t="s">
        <v>90</v>
      </c>
      <c r="CN3" s="13" t="s">
        <v>91</v>
      </c>
      <c r="CO3" s="14" t="s">
        <v>92</v>
      </c>
      <c r="CP3" s="12" t="s">
        <v>93</v>
      </c>
      <c r="CQ3" s="12" t="s">
        <v>94</v>
      </c>
      <c r="CR3" s="12" t="s">
        <v>95</v>
      </c>
      <c r="CS3" s="12" t="s">
        <v>96</v>
      </c>
    </row>
    <row r="4" spans="1:97 1064:1064" ht="11.55" customHeight="1">
      <c r="A4" s="132">
        <v>1</v>
      </c>
      <c r="B4" s="33">
        <v>0</v>
      </c>
      <c r="C4" s="121">
        <v>45871</v>
      </c>
      <c r="D4" s="101" t="s">
        <v>97</v>
      </c>
      <c r="E4" s="15" t="s">
        <v>98</v>
      </c>
      <c r="F4" s="107" t="s">
        <v>99</v>
      </c>
      <c r="G4" s="107" t="s">
        <v>100</v>
      </c>
      <c r="H4" s="103" t="s">
        <v>101</v>
      </c>
      <c r="I4" s="81" t="s">
        <v>102</v>
      </c>
      <c r="J4" s="68">
        <v>45899.621527777781</v>
      </c>
      <c r="K4" s="253" t="s">
        <v>103</v>
      </c>
      <c r="L4" s="68">
        <v>45900.5625</v>
      </c>
      <c r="M4" s="253" t="s">
        <v>104</v>
      </c>
      <c r="N4" s="153">
        <v>45901.82708333333</v>
      </c>
      <c r="O4" s="253" t="s">
        <v>105</v>
      </c>
      <c r="P4" s="44"/>
      <c r="Q4" s="77"/>
      <c r="R4" s="66"/>
      <c r="S4" s="88"/>
      <c r="T4" s="66">
        <v>54350</v>
      </c>
      <c r="U4" s="44"/>
      <c r="V4" s="44"/>
      <c r="W4" s="44"/>
      <c r="X4" s="77"/>
      <c r="Y4" s="44"/>
      <c r="Z4" s="44"/>
      <c r="AA4" s="111"/>
      <c r="AB4" s="111"/>
      <c r="AC4" s="44"/>
      <c r="AD4" s="40"/>
      <c r="AE4" s="44"/>
      <c r="AF4" s="88"/>
      <c r="AG4" s="111"/>
      <c r="AH4" s="23"/>
      <c r="AI4" s="23">
        <v>0</v>
      </c>
      <c r="AJ4" s="44"/>
      <c r="AK4" s="23"/>
      <c r="AL4" s="44"/>
      <c r="AM4" s="44"/>
      <c r="AN4" s="23"/>
      <c r="AO4" s="23">
        <v>0</v>
      </c>
      <c r="AP4" s="23">
        <v>0</v>
      </c>
      <c r="AQ4" s="44"/>
      <c r="AR4" s="44"/>
      <c r="AS4" s="44"/>
      <c r="AT4" s="44"/>
      <c r="AU4" s="44"/>
      <c r="AV4" s="23">
        <v>0</v>
      </c>
      <c r="AW4" s="66"/>
      <c r="AX4" s="44"/>
      <c r="AY4" s="23">
        <v>0</v>
      </c>
      <c r="AZ4" s="21">
        <v>0</v>
      </c>
      <c r="BA4" s="66"/>
      <c r="BB4" s="44"/>
      <c r="BC4" s="23">
        <v>0</v>
      </c>
      <c r="BD4" s="23">
        <v>0</v>
      </c>
      <c r="BE4" s="23">
        <v>0</v>
      </c>
      <c r="BF4" s="88"/>
      <c r="BG4" s="44"/>
      <c r="BH4" s="40"/>
      <c r="BI4" s="21">
        <f>SUM(TableOngoing[[#This Row],[EBH.HCV]:[PSB.LCV]])</f>
        <v>0</v>
      </c>
      <c r="BJ4" s="65">
        <v>54350</v>
      </c>
      <c r="BK4" s="47">
        <v>45897</v>
      </c>
      <c r="BL4" s="253" t="s">
        <v>106</v>
      </c>
      <c r="BM4" s="47">
        <v>45906</v>
      </c>
      <c r="BN4" s="253" t="s">
        <v>107</v>
      </c>
      <c r="BO4" s="71">
        <v>1</v>
      </c>
      <c r="BP4" s="94" t="s">
        <v>108</v>
      </c>
      <c r="BQ4" s="50"/>
      <c r="BR4" s="80">
        <v>15.22</v>
      </c>
      <c r="BS4" s="80">
        <v>11.19</v>
      </c>
      <c r="BT4" s="80">
        <v>4.9400000000000004</v>
      </c>
      <c r="BU4" s="80">
        <v>4.7158338024997191</v>
      </c>
      <c r="BV4" s="80">
        <v>2.37</v>
      </c>
      <c r="BW4" s="80">
        <v>2.2624546785271931</v>
      </c>
      <c r="BX4" s="77">
        <v>6095</v>
      </c>
      <c r="BY4" s="77">
        <v>5818.4224749465147</v>
      </c>
      <c r="BZ4" s="77">
        <v>5516.8867147065148</v>
      </c>
      <c r="CA4" s="38">
        <v>0</v>
      </c>
      <c r="CB4" s="38">
        <v>0</v>
      </c>
      <c r="CC4" s="195">
        <v>0.64452200000000004</v>
      </c>
      <c r="CD4" s="113">
        <v>1.79</v>
      </c>
      <c r="CE4" s="16">
        <v>1.79</v>
      </c>
      <c r="CF4" s="16">
        <v>0</v>
      </c>
      <c r="CG4" s="16">
        <v>0</v>
      </c>
      <c r="CH4" s="26">
        <v>0</v>
      </c>
      <c r="CI4" s="27">
        <v>0</v>
      </c>
      <c r="CJ4" s="27">
        <v>0</v>
      </c>
      <c r="CK4" s="229">
        <v>-0.14038127363526001</v>
      </c>
      <c r="CL4" s="16">
        <v>0</v>
      </c>
      <c r="CM4" s="16">
        <v>0</v>
      </c>
      <c r="CN4" s="16">
        <v>0</v>
      </c>
      <c r="CO4" s="41">
        <v>1310.334346506414</v>
      </c>
      <c r="CP4" s="31">
        <v>-7.0000000000000007E-2</v>
      </c>
      <c r="CQ4" s="31">
        <v>0.53</v>
      </c>
      <c r="CR4" s="31">
        <v>-0.56000000000000005</v>
      </c>
      <c r="CS4" s="31">
        <v>-1.05</v>
      </c>
      <c r="ANX4">
        <v>1359.223300969338</v>
      </c>
    </row>
    <row r="5" spans="1:97 1064:1064" ht="11.55" customHeight="1">
      <c r="A5" s="140">
        <v>2</v>
      </c>
      <c r="B5" s="33">
        <v>0</v>
      </c>
      <c r="C5" s="121">
        <v>45901</v>
      </c>
      <c r="D5" s="101" t="s">
        <v>97</v>
      </c>
      <c r="E5" s="15" t="s">
        <v>98</v>
      </c>
      <c r="F5" s="107" t="s">
        <v>109</v>
      </c>
      <c r="G5" s="107" t="s">
        <v>110</v>
      </c>
      <c r="H5" s="103" t="s">
        <v>111</v>
      </c>
      <c r="I5" s="81" t="s">
        <v>102</v>
      </c>
      <c r="J5" s="68">
        <v>45904.083333333343</v>
      </c>
      <c r="K5" s="253" t="s">
        <v>112</v>
      </c>
      <c r="L5" s="68">
        <v>45904.333333333343</v>
      </c>
      <c r="M5" s="253" t="s">
        <v>112</v>
      </c>
      <c r="N5" s="153">
        <v>45905.75</v>
      </c>
      <c r="O5" s="253" t="s">
        <v>113</v>
      </c>
      <c r="P5" s="66"/>
      <c r="Q5" s="88">
        <v>10000</v>
      </c>
      <c r="R5" s="66"/>
      <c r="S5" s="77">
        <v>3000</v>
      </c>
      <c r="T5" s="66">
        <v>47397.49</v>
      </c>
      <c r="U5" s="44"/>
      <c r="V5" s="44"/>
      <c r="W5" s="44"/>
      <c r="X5" s="88"/>
      <c r="Y5" s="44"/>
      <c r="Z5" s="44"/>
      <c r="AA5" s="111">
        <v>7602.51</v>
      </c>
      <c r="AB5" s="111"/>
      <c r="AC5" s="44"/>
      <c r="AD5" s="40"/>
      <c r="AE5" s="44"/>
      <c r="AF5" s="77"/>
      <c r="AG5" s="111"/>
      <c r="AH5" s="23"/>
      <c r="AI5" s="23">
        <v>0</v>
      </c>
      <c r="AJ5" s="44"/>
      <c r="AK5" s="23"/>
      <c r="AL5" s="44"/>
      <c r="AM5" s="44"/>
      <c r="AN5" s="23"/>
      <c r="AO5" s="23">
        <v>0</v>
      </c>
      <c r="AP5" s="23">
        <v>0</v>
      </c>
      <c r="AQ5" s="44"/>
      <c r="AR5" s="44"/>
      <c r="AS5" s="44"/>
      <c r="AT5" s="44"/>
      <c r="AU5" s="44"/>
      <c r="AV5" s="23">
        <v>0</v>
      </c>
      <c r="AW5" s="66"/>
      <c r="AX5" s="44"/>
      <c r="AY5" s="23">
        <v>0</v>
      </c>
      <c r="AZ5" s="21">
        <v>0</v>
      </c>
      <c r="BA5" s="66"/>
      <c r="BB5" s="44"/>
      <c r="BC5" s="23">
        <v>0</v>
      </c>
      <c r="BD5" s="23">
        <v>0</v>
      </c>
      <c r="BE5" s="23">
        <v>0</v>
      </c>
      <c r="BF5" s="88"/>
      <c r="BG5" s="44"/>
      <c r="BH5" s="40"/>
      <c r="BI5" s="34">
        <f>SUM(TableOngoing[[#This Row],[EBH.HCV]:[PSB.LCV]])</f>
        <v>0</v>
      </c>
      <c r="BJ5" s="65">
        <v>68000</v>
      </c>
      <c r="BK5" s="47">
        <v>45904</v>
      </c>
      <c r="BL5" s="253" t="s">
        <v>112</v>
      </c>
      <c r="BM5" s="47">
        <v>45913</v>
      </c>
      <c r="BN5" s="253" t="s">
        <v>114</v>
      </c>
      <c r="BO5" s="71">
        <v>0.88819838235294113</v>
      </c>
      <c r="BP5" s="94" t="s">
        <v>115</v>
      </c>
      <c r="BQ5" s="50"/>
      <c r="BR5" s="78">
        <v>17.73</v>
      </c>
      <c r="BS5" s="78">
        <v>11.65</v>
      </c>
      <c r="BT5" s="78">
        <v>6.16</v>
      </c>
      <c r="BU5" s="78">
        <v>5.74</v>
      </c>
      <c r="BV5" s="78">
        <v>2.0699999999999998</v>
      </c>
      <c r="BW5" s="78">
        <v>1.92</v>
      </c>
      <c r="BX5" s="79">
        <v>6118</v>
      </c>
      <c r="BY5" s="79">
        <v>5697</v>
      </c>
      <c r="BZ5" s="79">
        <v>5390</v>
      </c>
      <c r="CA5" s="38">
        <v>0</v>
      </c>
      <c r="CB5" s="38">
        <v>0</v>
      </c>
      <c r="CC5" s="195">
        <v>-6.1064108999999998E-2</v>
      </c>
      <c r="CD5" s="113">
        <v>3.75</v>
      </c>
      <c r="CE5" s="16">
        <v>3.75</v>
      </c>
      <c r="CF5" s="16">
        <v>0</v>
      </c>
      <c r="CG5" s="16">
        <v>0</v>
      </c>
      <c r="CH5" s="26">
        <v>0</v>
      </c>
      <c r="CI5" s="27">
        <v>0</v>
      </c>
      <c r="CJ5" s="27">
        <v>0</v>
      </c>
      <c r="CK5" s="229">
        <v>8.6274509804313879E-2</v>
      </c>
      <c r="CL5" s="16">
        <v>0</v>
      </c>
      <c r="CM5" s="16">
        <v>0</v>
      </c>
      <c r="CN5" s="16">
        <v>0</v>
      </c>
      <c r="CO5" s="42">
        <v>1999.999999995101</v>
      </c>
      <c r="CP5" s="31">
        <v>0</v>
      </c>
      <c r="CQ5" s="31">
        <v>0</v>
      </c>
      <c r="CR5" s="31">
        <v>0</v>
      </c>
      <c r="CS5" s="31">
        <v>0</v>
      </c>
      <c r="ANX5">
        <v>1798.810703668657</v>
      </c>
    </row>
    <row r="6" spans="1:97 1064:1064" ht="11.55" customHeight="1">
      <c r="A6" s="140">
        <v>3</v>
      </c>
      <c r="B6" s="33">
        <v>0</v>
      </c>
      <c r="C6" s="122">
        <v>45870</v>
      </c>
      <c r="D6" s="102" t="s">
        <v>97</v>
      </c>
      <c r="E6" s="15" t="s">
        <v>98</v>
      </c>
      <c r="F6" s="106" t="s">
        <v>116</v>
      </c>
      <c r="G6" s="106" t="s">
        <v>117</v>
      </c>
      <c r="H6" s="100" t="s">
        <v>118</v>
      </c>
      <c r="I6" s="82" t="s">
        <v>102</v>
      </c>
      <c r="J6" s="68">
        <v>45905.541666666657</v>
      </c>
      <c r="K6" s="253" t="s">
        <v>113</v>
      </c>
      <c r="L6" s="68">
        <v>45905.895833333343</v>
      </c>
      <c r="M6" s="253" t="s">
        <v>113</v>
      </c>
      <c r="N6" s="151">
        <v>45907.375</v>
      </c>
      <c r="O6" s="253" t="s">
        <v>119</v>
      </c>
      <c r="P6" s="44"/>
      <c r="Q6" s="89">
        <v>2808.28</v>
      </c>
      <c r="R6" s="44"/>
      <c r="S6" s="89">
        <v>3280.01</v>
      </c>
      <c r="T6" s="66">
        <v>50000</v>
      </c>
      <c r="U6" s="44"/>
      <c r="V6" s="44"/>
      <c r="W6" s="44"/>
      <c r="X6" s="89"/>
      <c r="Y6" s="44"/>
      <c r="Z6" s="44"/>
      <c r="AA6" s="109">
        <v>7505.48</v>
      </c>
      <c r="AB6" s="108"/>
      <c r="AC6" s="63"/>
      <c r="AD6" s="40"/>
      <c r="AE6" s="44"/>
      <c r="AF6" s="89"/>
      <c r="AG6" s="109"/>
      <c r="AH6" s="23">
        <v>7406.23</v>
      </c>
      <c r="AI6" s="23">
        <v>0</v>
      </c>
      <c r="AJ6" s="44"/>
      <c r="AK6" s="23"/>
      <c r="AL6" s="44"/>
      <c r="AM6" s="44"/>
      <c r="AN6" s="23"/>
      <c r="AO6" s="23">
        <v>0</v>
      </c>
      <c r="AP6" s="23">
        <v>0</v>
      </c>
      <c r="AQ6" s="63"/>
      <c r="AR6" s="44"/>
      <c r="AS6" s="44"/>
      <c r="AT6" s="63"/>
      <c r="AU6" s="44"/>
      <c r="AV6" s="23">
        <v>0</v>
      </c>
      <c r="AW6" s="44"/>
      <c r="AX6" s="44"/>
      <c r="AY6" s="23">
        <v>0</v>
      </c>
      <c r="AZ6" s="21">
        <v>0</v>
      </c>
      <c r="BA6" s="44"/>
      <c r="BB6" s="44"/>
      <c r="BC6" s="23">
        <v>0</v>
      </c>
      <c r="BD6" s="23">
        <v>0</v>
      </c>
      <c r="BE6" s="23">
        <v>0</v>
      </c>
      <c r="BF6" s="90"/>
      <c r="BG6" s="44"/>
      <c r="BH6" s="40"/>
      <c r="BI6" s="21">
        <f>SUM(TableOngoing[[#This Row],[EBH.HCV]:[PSB.LCV]])</f>
        <v>7406.23</v>
      </c>
      <c r="BJ6" s="65">
        <v>71000</v>
      </c>
      <c r="BK6" s="47">
        <v>45895</v>
      </c>
      <c r="BL6" s="253" t="s">
        <v>120</v>
      </c>
      <c r="BM6" s="47">
        <v>45906</v>
      </c>
      <c r="BN6" s="253" t="s">
        <v>107</v>
      </c>
      <c r="BO6" s="71">
        <v>0.78997591549295776</v>
      </c>
      <c r="BP6" s="94" t="s">
        <v>115</v>
      </c>
      <c r="BQ6" s="50"/>
      <c r="BR6" s="75">
        <v>18.28064310400363</v>
      </c>
      <c r="BS6" s="75">
        <v>12.02673506770687</v>
      </c>
      <c r="BT6" s="75">
        <v>5.7680966567662466</v>
      </c>
      <c r="BU6" s="75">
        <v>5.2371638228085553</v>
      </c>
      <c r="BV6" s="75">
        <v>1.9386444236535001</v>
      </c>
      <c r="BW6" s="75">
        <v>1.842404306391386</v>
      </c>
      <c r="BX6" s="76">
        <v>5962.789286911715</v>
      </c>
      <c r="BY6" s="76">
        <v>5554.1552082486696</v>
      </c>
      <c r="BZ6" s="76">
        <v>5257.0523309509063</v>
      </c>
      <c r="CA6" s="38">
        <v>0</v>
      </c>
      <c r="CB6" s="38">
        <v>0</v>
      </c>
      <c r="CC6" s="195">
        <v>1.1219099999999999E-2</v>
      </c>
      <c r="CD6" s="113">
        <v>0.68</v>
      </c>
      <c r="CE6" s="16">
        <v>0.68</v>
      </c>
      <c r="CF6" s="16">
        <v>0</v>
      </c>
      <c r="CG6" s="16">
        <v>0</v>
      </c>
      <c r="CH6" s="26">
        <v>0</v>
      </c>
      <c r="CI6" s="27">
        <v>0</v>
      </c>
      <c r="CJ6" s="27">
        <v>0</v>
      </c>
      <c r="CK6" s="229">
        <v>4.3544600937293301E-2</v>
      </c>
      <c r="CL6" s="16">
        <v>0</v>
      </c>
      <c r="CM6" s="16">
        <v>0</v>
      </c>
      <c r="CN6" s="16">
        <v>0</v>
      </c>
      <c r="CO6" s="42">
        <v>2000.0000000022669</v>
      </c>
      <c r="CP6" s="32">
        <v>0</v>
      </c>
      <c r="CQ6" s="32">
        <v>0</v>
      </c>
      <c r="CR6" s="32">
        <v>0</v>
      </c>
      <c r="CS6" s="32">
        <v>0</v>
      </c>
      <c r="ANX6">
        <v>1999.9999999980921</v>
      </c>
    </row>
    <row r="7" spans="1:97 1064:1064" ht="11.55" customHeight="1">
      <c r="A7" s="140">
        <v>4</v>
      </c>
      <c r="B7" s="33">
        <v>0</v>
      </c>
      <c r="C7" s="122">
        <v>45901</v>
      </c>
      <c r="D7" s="123" t="s">
        <v>97</v>
      </c>
      <c r="E7" s="15" t="s">
        <v>98</v>
      </c>
      <c r="F7" s="112" t="s">
        <v>121</v>
      </c>
      <c r="G7" s="112" t="s">
        <v>122</v>
      </c>
      <c r="H7" s="104" t="s">
        <v>123</v>
      </c>
      <c r="I7" s="83" t="s">
        <v>102</v>
      </c>
      <c r="J7" s="68">
        <v>45907.5</v>
      </c>
      <c r="K7" s="253" t="s">
        <v>119</v>
      </c>
      <c r="L7" s="68">
        <v>45907.8125</v>
      </c>
      <c r="M7" s="253" t="s">
        <v>119</v>
      </c>
      <c r="N7" s="151">
        <v>45908.43854166667</v>
      </c>
      <c r="O7" s="253" t="s">
        <v>124</v>
      </c>
      <c r="P7" s="66">
        <v>5000</v>
      </c>
      <c r="Q7" s="77"/>
      <c r="R7" s="44"/>
      <c r="S7" s="88">
        <v>8081.82</v>
      </c>
      <c r="T7" s="66">
        <v>9468.18</v>
      </c>
      <c r="U7" s="44"/>
      <c r="V7" s="44"/>
      <c r="W7" s="44"/>
      <c r="X7" s="77"/>
      <c r="Y7" s="66"/>
      <c r="Z7" s="44"/>
      <c r="AA7" s="110"/>
      <c r="AD7" s="40"/>
      <c r="AE7" s="44"/>
      <c r="AF7" s="88">
        <v>7500</v>
      </c>
      <c r="AG7" s="111"/>
      <c r="AH7" s="23"/>
      <c r="AI7" s="23">
        <v>0</v>
      </c>
      <c r="AJ7" s="44"/>
      <c r="AK7" s="23"/>
      <c r="AL7" s="44"/>
      <c r="AM7" s="58"/>
      <c r="AN7" s="23"/>
      <c r="AO7" s="23">
        <v>0</v>
      </c>
      <c r="AP7" s="23">
        <v>0</v>
      </c>
      <c r="AQ7" s="44"/>
      <c r="AR7" s="44"/>
      <c r="AS7" s="44"/>
      <c r="AT7" s="58"/>
      <c r="AU7" s="44"/>
      <c r="AV7" s="23">
        <v>0</v>
      </c>
      <c r="AW7" s="44"/>
      <c r="AX7" s="44"/>
      <c r="AY7" s="23">
        <v>0</v>
      </c>
      <c r="AZ7" s="21">
        <v>0</v>
      </c>
      <c r="BA7" s="44"/>
      <c r="BB7" s="44"/>
      <c r="BC7" s="23">
        <v>0</v>
      </c>
      <c r="BD7" s="23">
        <v>0</v>
      </c>
      <c r="BE7" s="23">
        <v>0</v>
      </c>
      <c r="BF7" s="88"/>
      <c r="BG7" s="44"/>
      <c r="BH7" s="40"/>
      <c r="BI7" s="21">
        <f>SUM(TableOngoing[[#This Row],[EBH.HCV]:[PSB.LCV]])</f>
        <v>7500</v>
      </c>
      <c r="BJ7" s="65">
        <v>30050</v>
      </c>
      <c r="BK7" s="47">
        <v>45903</v>
      </c>
      <c r="BL7" s="253" t="s">
        <v>125</v>
      </c>
      <c r="BM7" s="47">
        <v>45912</v>
      </c>
      <c r="BN7" s="253" t="s">
        <v>126</v>
      </c>
      <c r="BO7" s="71">
        <v>0.75041597337770383</v>
      </c>
      <c r="BP7" s="94" t="s">
        <v>115</v>
      </c>
      <c r="BQ7" s="50"/>
      <c r="BR7" s="78">
        <v>16.595961271214641</v>
      </c>
      <c r="BS7" s="78">
        <v>11.092641044925131</v>
      </c>
      <c r="BT7" s="78">
        <v>5.4275419833610652</v>
      </c>
      <c r="BU7" s="78">
        <v>5.0794146013754666</v>
      </c>
      <c r="BV7" s="78">
        <v>1.645440885191348</v>
      </c>
      <c r="BW7" s="78">
        <v>1.5503404202273929</v>
      </c>
      <c r="BX7" s="79">
        <v>6104.8635613976703</v>
      </c>
      <c r="BY7" s="79">
        <v>5729.5578715766596</v>
      </c>
      <c r="BZ7" s="79">
        <v>5420.4731088094404</v>
      </c>
      <c r="CA7" s="38">
        <v>0</v>
      </c>
      <c r="CB7" s="38">
        <v>0</v>
      </c>
      <c r="CC7" s="195">
        <v>0.4945232</v>
      </c>
      <c r="CD7" s="113">
        <v>1.01</v>
      </c>
      <c r="CE7" s="16">
        <v>1.01</v>
      </c>
      <c r="CF7" s="16">
        <v>0</v>
      </c>
      <c r="CG7" s="16">
        <v>0</v>
      </c>
      <c r="CH7" s="26">
        <v>0</v>
      </c>
      <c r="CI7" s="27">
        <v>0</v>
      </c>
      <c r="CJ7" s="27">
        <v>0</v>
      </c>
      <c r="CK7" s="229">
        <v>7.8047004990833085E-2</v>
      </c>
      <c r="CL7" s="16">
        <v>0</v>
      </c>
      <c r="CM7" s="16">
        <v>0</v>
      </c>
      <c r="CN7" s="16">
        <v>0</v>
      </c>
      <c r="CO7" s="42">
        <v>2000.0000000076341</v>
      </c>
      <c r="CP7" s="31">
        <v>0</v>
      </c>
      <c r="CQ7" s="31">
        <v>0</v>
      </c>
      <c r="CR7" s="31">
        <v>0</v>
      </c>
      <c r="CS7" s="31">
        <v>0</v>
      </c>
      <c r="ANX7">
        <v>1499.9999999977449</v>
      </c>
    </row>
    <row r="8" spans="1:97 1064:1064" ht="11.55" customHeight="1">
      <c r="A8" s="132">
        <v>5</v>
      </c>
      <c r="B8" s="33">
        <v>0</v>
      </c>
      <c r="C8" s="122">
        <v>45901</v>
      </c>
      <c r="D8" s="101" t="s">
        <v>97</v>
      </c>
      <c r="E8" s="15" t="s">
        <v>98</v>
      </c>
      <c r="F8" s="107" t="s">
        <v>127</v>
      </c>
      <c r="G8" s="107" t="s">
        <v>128</v>
      </c>
      <c r="H8" s="107" t="s">
        <v>129</v>
      </c>
      <c r="I8" s="81" t="s">
        <v>102</v>
      </c>
      <c r="J8" s="68">
        <v>45909</v>
      </c>
      <c r="K8" s="253" t="s">
        <v>130</v>
      </c>
      <c r="L8" s="68">
        <v>45909.166666666657</v>
      </c>
      <c r="M8" s="253" t="s">
        <v>130</v>
      </c>
      <c r="N8" s="151">
        <v>45911.111111111109</v>
      </c>
      <c r="O8" s="253" t="s">
        <v>131</v>
      </c>
      <c r="P8" s="66"/>
      <c r="Q8" s="91"/>
      <c r="R8" s="44"/>
      <c r="S8" s="91">
        <v>1488.02</v>
      </c>
      <c r="T8" s="66">
        <v>46010.1</v>
      </c>
      <c r="U8" s="44"/>
      <c r="V8" s="44"/>
      <c r="W8" s="44"/>
      <c r="X8" s="88"/>
      <c r="Y8" s="44"/>
      <c r="Z8" s="44"/>
      <c r="AA8" s="110">
        <v>22501.88</v>
      </c>
      <c r="AB8" s="111"/>
      <c r="AC8" s="44"/>
      <c r="AD8" s="40"/>
      <c r="AE8" s="44"/>
      <c r="AF8" s="88"/>
      <c r="AG8" s="110"/>
      <c r="AH8" s="23"/>
      <c r="AI8" s="23">
        <v>0</v>
      </c>
      <c r="AJ8" s="44"/>
      <c r="AK8" s="23"/>
      <c r="AL8" s="58"/>
      <c r="AM8" s="44"/>
      <c r="AN8" s="23"/>
      <c r="AO8" s="23">
        <v>0</v>
      </c>
      <c r="AP8" s="23">
        <v>0</v>
      </c>
      <c r="AQ8" s="44"/>
      <c r="AR8" s="44"/>
      <c r="AS8" s="44"/>
      <c r="AT8" s="44"/>
      <c r="AU8" s="44"/>
      <c r="AV8" s="23">
        <v>0</v>
      </c>
      <c r="AW8" s="44"/>
      <c r="AX8" s="44"/>
      <c r="AY8" s="23">
        <v>0</v>
      </c>
      <c r="AZ8" s="21">
        <v>0</v>
      </c>
      <c r="BA8" s="44"/>
      <c r="BB8" s="44"/>
      <c r="BC8" s="23">
        <v>0</v>
      </c>
      <c r="BD8" s="23">
        <v>0</v>
      </c>
      <c r="BE8" s="23">
        <v>0</v>
      </c>
      <c r="BF8" s="88"/>
      <c r="BG8" s="44"/>
      <c r="BH8" s="40"/>
      <c r="BI8" s="21">
        <f>SUM(TableOngoing[[#This Row],[EBH.HCV]:[PSB.LCV]])</f>
        <v>0</v>
      </c>
      <c r="BJ8" s="65">
        <v>70000</v>
      </c>
      <c r="BK8" s="47">
        <v>45908</v>
      </c>
      <c r="BL8" s="253" t="s">
        <v>124</v>
      </c>
      <c r="BM8" s="47">
        <v>45917</v>
      </c>
      <c r="BN8" s="253" t="s">
        <v>132</v>
      </c>
      <c r="BO8" s="71">
        <v>0.67854457142857139</v>
      </c>
      <c r="BP8" s="94" t="s">
        <v>115</v>
      </c>
      <c r="BQ8" s="50"/>
      <c r="BR8" s="75">
        <v>23.215846709366001</v>
      </c>
      <c r="BS8" s="75">
        <v>13.435205271513279</v>
      </c>
      <c r="BT8" s="75">
        <v>6.7033483624628687</v>
      </c>
      <c r="BU8" s="75">
        <v>5.654073735094026</v>
      </c>
      <c r="BV8" s="75">
        <v>1.65000002944847</v>
      </c>
      <c r="BW8" s="75">
        <v>1.562160374931546</v>
      </c>
      <c r="BX8" s="76">
        <v>5706.0602679244012</v>
      </c>
      <c r="BY8" s="76">
        <v>5097.7391097782311</v>
      </c>
      <c r="BZ8" s="76">
        <v>4775.6927253484391</v>
      </c>
      <c r="CA8" s="38">
        <v>0</v>
      </c>
      <c r="CB8" s="38">
        <v>0</v>
      </c>
      <c r="CC8" s="195">
        <v>-0.295012</v>
      </c>
      <c r="CD8" s="113">
        <v>-0.75</v>
      </c>
      <c r="CE8" s="16">
        <v>-0.75</v>
      </c>
      <c r="CF8" s="16">
        <v>0</v>
      </c>
      <c r="CG8" s="16">
        <v>0</v>
      </c>
      <c r="CH8" s="26">
        <v>0</v>
      </c>
      <c r="CI8" s="27">
        <v>0</v>
      </c>
      <c r="CJ8" s="27">
        <v>0</v>
      </c>
      <c r="CK8" s="229">
        <v>1.9841269841500829E-2</v>
      </c>
      <c r="CL8" s="16">
        <v>0</v>
      </c>
      <c r="CM8" s="16">
        <v>0</v>
      </c>
      <c r="CN8" s="16">
        <v>0</v>
      </c>
      <c r="CO8" s="42">
        <v>1500.000000001221</v>
      </c>
      <c r="CP8" s="32">
        <v>0</v>
      </c>
      <c r="CQ8" s="32">
        <v>0</v>
      </c>
      <c r="CR8" s="32">
        <v>0</v>
      </c>
      <c r="CS8" s="32">
        <v>0</v>
      </c>
      <c r="ANX8">
        <v>2000.000000002894</v>
      </c>
    </row>
    <row r="9" spans="1:97 1064:1064" ht="11.55" customHeight="1">
      <c r="A9" s="140">
        <v>6</v>
      </c>
      <c r="B9" s="33">
        <v>0</v>
      </c>
      <c r="C9" s="122">
        <v>45901</v>
      </c>
      <c r="D9" s="101" t="s">
        <v>133</v>
      </c>
      <c r="E9" s="15" t="s">
        <v>98</v>
      </c>
      <c r="F9" s="107" t="s">
        <v>134</v>
      </c>
      <c r="G9" s="107" t="s">
        <v>135</v>
      </c>
      <c r="H9" s="107" t="s">
        <v>136</v>
      </c>
      <c r="I9" s="84" t="s">
        <v>102</v>
      </c>
      <c r="J9" s="68">
        <v>45907.5</v>
      </c>
      <c r="K9" s="253" t="s">
        <v>119</v>
      </c>
      <c r="L9" s="68">
        <v>45911.208333333343</v>
      </c>
      <c r="M9" s="253" t="s">
        <v>131</v>
      </c>
      <c r="N9" s="151">
        <v>45912.145833333343</v>
      </c>
      <c r="O9" s="253" t="s">
        <v>126</v>
      </c>
      <c r="P9" s="44">
        <v>400</v>
      </c>
      <c r="Q9" s="93"/>
      <c r="R9" s="66"/>
      <c r="S9" s="88"/>
      <c r="T9" s="66"/>
      <c r="U9" s="44"/>
      <c r="V9" s="44"/>
      <c r="W9" s="44"/>
      <c r="X9" s="92">
        <v>37100</v>
      </c>
      <c r="Y9" s="44">
        <v>7500</v>
      </c>
      <c r="Z9" s="44"/>
      <c r="AA9" s="111"/>
      <c r="AB9" s="111"/>
      <c r="AC9" s="45"/>
      <c r="AD9" s="40"/>
      <c r="AE9" s="44"/>
      <c r="AF9" s="92"/>
      <c r="AG9" s="111"/>
      <c r="AH9" s="23"/>
      <c r="AI9" s="23">
        <v>0</v>
      </c>
      <c r="AJ9" s="44"/>
      <c r="AK9" s="23"/>
      <c r="AL9" s="44"/>
      <c r="AM9" s="44"/>
      <c r="AN9" s="23"/>
      <c r="AO9" s="23">
        <v>0</v>
      </c>
      <c r="AP9" s="23">
        <v>0</v>
      </c>
      <c r="AQ9" s="44"/>
      <c r="AR9" s="44"/>
      <c r="AS9" s="44"/>
      <c r="AT9" s="44"/>
      <c r="AU9" s="44"/>
      <c r="AV9" s="23">
        <v>0</v>
      </c>
      <c r="AW9" s="44"/>
      <c r="AX9" s="44"/>
      <c r="AY9" s="23">
        <v>0</v>
      </c>
      <c r="AZ9" s="21">
        <v>0</v>
      </c>
      <c r="BA9" s="44"/>
      <c r="BB9" s="44"/>
      <c r="BC9" s="23">
        <v>0</v>
      </c>
      <c r="BD9" s="23">
        <v>0</v>
      </c>
      <c r="BE9" s="23">
        <v>0</v>
      </c>
      <c r="BF9" s="88"/>
      <c r="BG9" s="44"/>
      <c r="BH9" s="40"/>
      <c r="BI9" s="21">
        <f>SUM(TableOngoing[[#This Row],[EBH.HCV]:[PSB.LCV]])</f>
        <v>0</v>
      </c>
      <c r="BJ9" s="65">
        <v>45000</v>
      </c>
      <c r="BK9" s="47">
        <v>45906</v>
      </c>
      <c r="BL9" s="253" t="s">
        <v>107</v>
      </c>
      <c r="BM9" s="47">
        <v>45915</v>
      </c>
      <c r="BN9" s="253" t="s">
        <v>137</v>
      </c>
      <c r="BO9" s="74">
        <v>0.99111111111111116</v>
      </c>
      <c r="BP9" s="95" t="s">
        <v>115</v>
      </c>
      <c r="BQ9" s="50"/>
      <c r="BR9" s="75">
        <v>16.25</v>
      </c>
      <c r="BS9" s="75">
        <v>10.96</v>
      </c>
      <c r="BT9" s="75">
        <v>4.5999999999999996</v>
      </c>
      <c r="BU9" s="75">
        <v>4.33</v>
      </c>
      <c r="BV9" s="75">
        <v>0.87</v>
      </c>
      <c r="BW9" s="75">
        <v>0.82</v>
      </c>
      <c r="BX9" s="76">
        <v>6507</v>
      </c>
      <c r="BY9" s="76">
        <v>6120</v>
      </c>
      <c r="BZ9" s="76">
        <v>5802</v>
      </c>
      <c r="CA9" s="38">
        <v>0</v>
      </c>
      <c r="CB9" s="38">
        <v>0</v>
      </c>
      <c r="CC9" s="195">
        <v>-0.69066700000000003</v>
      </c>
      <c r="CD9" s="113">
        <v>-0.45</v>
      </c>
      <c r="CE9" s="16">
        <v>-0.45</v>
      </c>
      <c r="CF9" s="16">
        <v>0</v>
      </c>
      <c r="CG9" s="16">
        <v>0</v>
      </c>
      <c r="CH9" s="26">
        <v>0</v>
      </c>
      <c r="CI9" s="27">
        <v>0</v>
      </c>
      <c r="CJ9" s="27">
        <v>0</v>
      </c>
      <c r="CK9" s="229">
        <v>-1.0237268518526741</v>
      </c>
      <c r="CL9" s="16">
        <v>0</v>
      </c>
      <c r="CM9" s="16">
        <v>0</v>
      </c>
      <c r="CN9" s="16">
        <v>0</v>
      </c>
      <c r="CO9" s="42">
        <v>2000.0000000020159</v>
      </c>
      <c r="CP9" s="31">
        <v>0</v>
      </c>
      <c r="CQ9" s="31">
        <v>0</v>
      </c>
      <c r="CR9" s="31">
        <v>0</v>
      </c>
      <c r="CS9" s="31">
        <v>0</v>
      </c>
      <c r="ANX9">
        <v>2000.000000003424</v>
      </c>
    </row>
    <row r="10" spans="1:97 1064:1064" ht="11.55" customHeight="1">
      <c r="A10" s="140">
        <v>7</v>
      </c>
      <c r="B10" s="33">
        <v>0</v>
      </c>
      <c r="C10" s="121">
        <v>45901</v>
      </c>
      <c r="D10" s="101" t="s">
        <v>97</v>
      </c>
      <c r="E10" s="15" t="s">
        <v>98</v>
      </c>
      <c r="F10" s="107" t="s">
        <v>138</v>
      </c>
      <c r="G10" s="107" t="s">
        <v>117</v>
      </c>
      <c r="H10" s="107" t="s">
        <v>139</v>
      </c>
      <c r="I10" s="84" t="s">
        <v>102</v>
      </c>
      <c r="J10" s="68">
        <v>45911</v>
      </c>
      <c r="K10" s="253" t="s">
        <v>131</v>
      </c>
      <c r="L10" s="68">
        <v>45912.340277777781</v>
      </c>
      <c r="M10" s="253" t="s">
        <v>126</v>
      </c>
      <c r="N10" s="151">
        <v>45913.798611111109</v>
      </c>
      <c r="O10" s="253" t="s">
        <v>114</v>
      </c>
      <c r="P10" s="44"/>
      <c r="Q10" s="88">
        <v>10000</v>
      </c>
      <c r="R10" s="44"/>
      <c r="S10" s="88">
        <v>10000</v>
      </c>
      <c r="T10" s="66">
        <v>37196.76</v>
      </c>
      <c r="U10" s="44"/>
      <c r="V10" s="44"/>
      <c r="W10" s="44"/>
      <c r="X10" s="92"/>
      <c r="Y10" s="44"/>
      <c r="Z10" s="44"/>
      <c r="AA10" s="111">
        <v>7503.24</v>
      </c>
      <c r="AB10" s="111"/>
      <c r="AC10" s="44"/>
      <c r="AD10" s="40"/>
      <c r="AE10" s="44"/>
      <c r="AF10" s="92"/>
      <c r="AG10" s="111"/>
      <c r="AH10" s="23"/>
      <c r="AI10" s="23">
        <v>0</v>
      </c>
      <c r="AJ10" s="44"/>
      <c r="AK10" s="23"/>
      <c r="AL10" s="44"/>
      <c r="AM10" s="44">
        <v>5300</v>
      </c>
      <c r="AN10" s="23"/>
      <c r="AO10" s="23">
        <v>0</v>
      </c>
      <c r="AP10" s="23">
        <v>0</v>
      </c>
      <c r="AQ10" s="44"/>
      <c r="AR10" s="44"/>
      <c r="AS10" s="44"/>
      <c r="AT10" s="58"/>
      <c r="AU10" s="44"/>
      <c r="AV10" s="23">
        <v>0</v>
      </c>
      <c r="AW10" s="44"/>
      <c r="AX10" s="44"/>
      <c r="AY10" s="23">
        <v>0</v>
      </c>
      <c r="AZ10" s="21">
        <v>0</v>
      </c>
      <c r="BA10" s="44"/>
      <c r="BB10" s="44"/>
      <c r="BC10" s="23">
        <v>0</v>
      </c>
      <c r="BD10" s="23">
        <v>0</v>
      </c>
      <c r="BE10" s="23">
        <v>0</v>
      </c>
      <c r="BF10" s="88"/>
      <c r="BG10" s="44"/>
      <c r="BH10" s="40"/>
      <c r="BI10" s="21">
        <f>SUM(TableOngoing[[#This Row],[EBH.HCV]:[PSB.LCV]])</f>
        <v>5300</v>
      </c>
      <c r="BJ10" s="65">
        <v>70000</v>
      </c>
      <c r="BK10" s="47">
        <v>45905</v>
      </c>
      <c r="BL10" s="253" t="s">
        <v>113</v>
      </c>
      <c r="BM10" s="47">
        <v>45914</v>
      </c>
      <c r="BN10" s="253" t="s">
        <v>140</v>
      </c>
      <c r="BO10" s="72">
        <v>0.81709657142857151</v>
      </c>
      <c r="BP10" s="95" t="s">
        <v>115</v>
      </c>
      <c r="BQ10" s="50"/>
      <c r="BR10" s="75">
        <v>19.237892947983529</v>
      </c>
      <c r="BS10" s="75">
        <v>11.84417773690712</v>
      </c>
      <c r="BT10" s="75">
        <v>6.2141441402106938</v>
      </c>
      <c r="BU10" s="75">
        <v>5.565991165513072</v>
      </c>
      <c r="BV10" s="75">
        <v>1.891788650167022</v>
      </c>
      <c r="BW10" s="75">
        <v>1.7863329945521531</v>
      </c>
      <c r="BX10" s="76">
        <v>5956.088134300312</v>
      </c>
      <c r="BY10" s="76">
        <v>5475.9477254397198</v>
      </c>
      <c r="BZ10" s="76">
        <v>5163.2437120758941</v>
      </c>
      <c r="CA10" s="38">
        <v>0</v>
      </c>
      <c r="CB10" s="38">
        <v>0</v>
      </c>
      <c r="CC10" s="195">
        <v>-0.39012000000000002</v>
      </c>
      <c r="CD10" s="114">
        <v>5.29</v>
      </c>
      <c r="CE10" s="16">
        <v>5.29</v>
      </c>
      <c r="CF10" s="16">
        <v>0</v>
      </c>
      <c r="CG10" s="16">
        <v>0</v>
      </c>
      <c r="CH10" s="26">
        <v>0</v>
      </c>
      <c r="CI10" s="27">
        <v>0</v>
      </c>
      <c r="CJ10" s="27">
        <v>0</v>
      </c>
      <c r="CK10" s="229">
        <v>-0.1332341269855013</v>
      </c>
      <c r="CL10" s="16">
        <v>0</v>
      </c>
      <c r="CM10" s="16">
        <v>0</v>
      </c>
      <c r="CN10" s="16">
        <v>0</v>
      </c>
      <c r="CO10" s="42">
        <v>1999.999999996525</v>
      </c>
      <c r="CP10" s="32">
        <v>0</v>
      </c>
      <c r="CQ10" s="32">
        <v>0</v>
      </c>
      <c r="CR10" s="32">
        <v>0</v>
      </c>
      <c r="CS10" s="32">
        <v>0</v>
      </c>
      <c r="ANX10">
        <v>1999.9999999951201</v>
      </c>
    </row>
    <row r="11" spans="1:97 1064:1064" ht="11.55" customHeight="1">
      <c r="A11" s="140">
        <v>8</v>
      </c>
      <c r="B11" s="33">
        <v>0</v>
      </c>
      <c r="C11" s="121">
        <v>45901</v>
      </c>
      <c r="D11" s="101" t="s">
        <v>97</v>
      </c>
      <c r="E11" s="15" t="s">
        <v>98</v>
      </c>
      <c r="F11" s="107" t="s">
        <v>141</v>
      </c>
      <c r="G11" s="107" t="s">
        <v>142</v>
      </c>
      <c r="H11" s="107" t="s">
        <v>143</v>
      </c>
      <c r="I11" s="84" t="s">
        <v>102</v>
      </c>
      <c r="J11" s="68">
        <v>45911</v>
      </c>
      <c r="K11" s="253" t="s">
        <v>131</v>
      </c>
      <c r="L11" s="68">
        <v>45913.944444444453</v>
      </c>
      <c r="M11" s="253" t="s">
        <v>114</v>
      </c>
      <c r="N11" s="151">
        <v>45915.402777777781</v>
      </c>
      <c r="O11" s="253" t="s">
        <v>137</v>
      </c>
      <c r="P11" s="44"/>
      <c r="Q11" s="88">
        <v>10000</v>
      </c>
      <c r="R11" s="44"/>
      <c r="S11" s="88"/>
      <c r="T11" s="66">
        <v>39700</v>
      </c>
      <c r="U11" s="44"/>
      <c r="V11" s="44"/>
      <c r="W11" s="44"/>
      <c r="X11" s="88"/>
      <c r="Y11" s="44"/>
      <c r="Z11" s="44"/>
      <c r="AA11" s="111"/>
      <c r="AB11" s="111"/>
      <c r="AC11" s="44"/>
      <c r="AD11" s="40"/>
      <c r="AE11" s="44"/>
      <c r="AF11" s="88"/>
      <c r="AG11" s="111"/>
      <c r="AH11" s="23"/>
      <c r="AI11" s="23">
        <v>0</v>
      </c>
      <c r="AJ11" s="44">
        <v>7500</v>
      </c>
      <c r="AK11" s="23"/>
      <c r="AL11" s="44">
        <v>5300</v>
      </c>
      <c r="AM11" s="44"/>
      <c r="AN11" s="23"/>
      <c r="AO11" s="23">
        <v>0</v>
      </c>
      <c r="AP11" s="23">
        <v>0</v>
      </c>
      <c r="AQ11" s="44"/>
      <c r="AR11" s="44"/>
      <c r="AS11" s="44"/>
      <c r="AT11" s="44"/>
      <c r="AU11" s="44">
        <v>7500</v>
      </c>
      <c r="AV11" s="23">
        <v>0</v>
      </c>
      <c r="AW11" s="44"/>
      <c r="AX11" s="44"/>
      <c r="AY11" s="23">
        <v>0</v>
      </c>
      <c r="AZ11" s="21">
        <v>0</v>
      </c>
      <c r="BA11" s="66"/>
      <c r="BB11" s="44"/>
      <c r="BC11" s="23">
        <v>0</v>
      </c>
      <c r="BD11" s="23">
        <v>0</v>
      </c>
      <c r="BE11" s="23">
        <v>0</v>
      </c>
      <c r="BF11" s="88"/>
      <c r="BG11" s="44"/>
      <c r="BH11" s="40"/>
      <c r="BI11" s="21">
        <f>SUM(TableOngoing[[#This Row],[EBH.HCV]:[PSB.LCV]])</f>
        <v>20300</v>
      </c>
      <c r="BJ11" s="65">
        <v>70000</v>
      </c>
      <c r="BK11" s="47">
        <v>45911</v>
      </c>
      <c r="BL11" s="253" t="s">
        <v>131</v>
      </c>
      <c r="BM11" s="47">
        <v>45920</v>
      </c>
      <c r="BN11" s="253" t="s">
        <v>144</v>
      </c>
      <c r="BO11" s="71">
        <v>0.71</v>
      </c>
      <c r="BP11" s="95" t="s">
        <v>115</v>
      </c>
      <c r="BQ11" s="50"/>
      <c r="BR11" s="75">
        <v>19.448148011020599</v>
      </c>
      <c r="BS11" s="75">
        <v>12.00789688125143</v>
      </c>
      <c r="BT11" s="75">
        <v>5.9409138498528753</v>
      </c>
      <c r="BU11" s="75">
        <v>5.3981261120336237</v>
      </c>
      <c r="BV11" s="75">
        <v>1.8581428571428571</v>
      </c>
      <c r="BW11" s="75">
        <v>1.747402645266763</v>
      </c>
      <c r="BX11" s="76">
        <v>5975.0434692701583</v>
      </c>
      <c r="BY11" s="76">
        <v>5482.2970561862167</v>
      </c>
      <c r="BZ11" s="76">
        <v>5186.2348028013812</v>
      </c>
      <c r="CA11" s="38">
        <v>0</v>
      </c>
      <c r="CB11" s="38">
        <v>0</v>
      </c>
      <c r="CC11" s="195">
        <v>-3.19102E-2</v>
      </c>
      <c r="CD11" s="113">
        <v>-5.8000000000000003E-2</v>
      </c>
      <c r="CE11" s="16">
        <v>-5.8000000000000003E-2</v>
      </c>
      <c r="CF11" s="16">
        <v>0</v>
      </c>
      <c r="CG11" s="16">
        <v>0</v>
      </c>
      <c r="CH11" s="26">
        <v>0</v>
      </c>
      <c r="CI11" s="27">
        <v>0</v>
      </c>
      <c r="CJ11" s="27">
        <v>0</v>
      </c>
      <c r="CK11" s="229">
        <v>-0.55357142857413111</v>
      </c>
      <c r="CL11" s="16">
        <v>0</v>
      </c>
      <c r="CM11" s="16">
        <v>0</v>
      </c>
      <c r="CN11" s="16">
        <v>0</v>
      </c>
      <c r="CO11" s="42">
        <v>2000.0000000030241</v>
      </c>
      <c r="CP11" s="31">
        <v>0</v>
      </c>
      <c r="CQ11" s="31">
        <v>0</v>
      </c>
      <c r="CR11" s="31">
        <v>0</v>
      </c>
      <c r="CS11" s="31">
        <v>0</v>
      </c>
      <c r="ANX11">
        <v>1900.0000000006321</v>
      </c>
    </row>
    <row r="12" spans="1:97 1064:1064" ht="11.55" customHeight="1">
      <c r="A12" s="132">
        <v>9</v>
      </c>
      <c r="B12" s="33">
        <v>0</v>
      </c>
      <c r="C12" s="115">
        <v>45901</v>
      </c>
      <c r="D12" s="124" t="s">
        <v>97</v>
      </c>
      <c r="E12" s="15" t="s">
        <v>98</v>
      </c>
      <c r="F12" s="98" t="s">
        <v>141</v>
      </c>
      <c r="G12" s="98" t="s">
        <v>145</v>
      </c>
      <c r="H12" s="98" t="s">
        <v>146</v>
      </c>
      <c r="I12" s="84" t="s">
        <v>102</v>
      </c>
      <c r="J12" s="68">
        <v>45913</v>
      </c>
      <c r="K12" s="253" t="s">
        <v>114</v>
      </c>
      <c r="L12" s="68">
        <v>45915.548611111109</v>
      </c>
      <c r="M12" s="253" t="s">
        <v>137</v>
      </c>
      <c r="N12" s="152">
        <v>45917.006944444453</v>
      </c>
      <c r="O12" s="253" t="s">
        <v>132</v>
      </c>
      <c r="P12" s="44"/>
      <c r="Q12" s="88">
        <v>10100</v>
      </c>
      <c r="R12" s="44"/>
      <c r="S12" s="91">
        <v>4900</v>
      </c>
      <c r="T12" s="66">
        <v>34700</v>
      </c>
      <c r="U12" s="44"/>
      <c r="V12" s="44"/>
      <c r="W12" s="44"/>
      <c r="X12" s="93"/>
      <c r="Y12" s="44"/>
      <c r="Z12" s="44"/>
      <c r="AA12" s="111">
        <v>7500</v>
      </c>
      <c r="AB12" s="111"/>
      <c r="AC12" s="44"/>
      <c r="AD12" s="40"/>
      <c r="AE12" s="44"/>
      <c r="AF12" s="92">
        <v>7500</v>
      </c>
      <c r="AG12" s="111"/>
      <c r="AH12" s="23"/>
      <c r="AI12" s="23">
        <v>0</v>
      </c>
      <c r="AJ12" s="44"/>
      <c r="AK12" s="23"/>
      <c r="AL12" s="44">
        <v>5300</v>
      </c>
      <c r="AM12" s="44"/>
      <c r="AN12" s="23"/>
      <c r="AO12" s="23">
        <v>0</v>
      </c>
      <c r="AP12" s="23">
        <v>0</v>
      </c>
      <c r="AQ12" s="44"/>
      <c r="AR12" s="44"/>
      <c r="AS12" s="44"/>
      <c r="AT12" s="45"/>
      <c r="AU12" s="44"/>
      <c r="AV12" s="23">
        <v>0</v>
      </c>
      <c r="AW12" s="44"/>
      <c r="AX12" s="44"/>
      <c r="AY12" s="23">
        <v>0</v>
      </c>
      <c r="AZ12" s="21">
        <v>0</v>
      </c>
      <c r="BA12" s="44"/>
      <c r="BB12" s="44"/>
      <c r="BC12" s="23">
        <v>0</v>
      </c>
      <c r="BD12" s="23">
        <v>0</v>
      </c>
      <c r="BE12" s="23">
        <v>0</v>
      </c>
      <c r="BF12" s="88"/>
      <c r="BG12" s="44"/>
      <c r="BH12" s="40"/>
      <c r="BI12" s="21">
        <f>SUM(TableOngoing[[#This Row],[EBH.HCV]:[PSB.LCV]])</f>
        <v>12800</v>
      </c>
      <c r="BJ12" s="65">
        <v>70000</v>
      </c>
      <c r="BK12" s="47">
        <v>45913</v>
      </c>
      <c r="BL12" s="253" t="s">
        <v>114</v>
      </c>
      <c r="BM12" s="47">
        <v>45922</v>
      </c>
      <c r="BN12" s="253" t="s">
        <v>147</v>
      </c>
      <c r="BO12" s="71">
        <v>0.71</v>
      </c>
      <c r="BP12" s="95" t="s">
        <v>115</v>
      </c>
      <c r="BQ12" s="50"/>
      <c r="BR12" s="75">
        <v>19.320851394122649</v>
      </c>
      <c r="BS12" s="75">
        <v>11.977307817972941</v>
      </c>
      <c r="BT12" s="75">
        <v>6.2904124544322961</v>
      </c>
      <c r="BU12" s="75">
        <v>5.652556287418248</v>
      </c>
      <c r="BV12" s="75">
        <v>1.833218536102283</v>
      </c>
      <c r="BW12" s="75">
        <v>1.7269155030744039</v>
      </c>
      <c r="BX12" s="76">
        <v>5949.7318907562403</v>
      </c>
      <c r="BY12" s="76">
        <v>5468.9099489149794</v>
      </c>
      <c r="BZ12" s="76">
        <v>5155.0712279113841</v>
      </c>
      <c r="CA12" s="38">
        <v>0</v>
      </c>
      <c r="CB12" s="38">
        <v>0</v>
      </c>
      <c r="CC12" s="195">
        <v>-0.49012340999999998</v>
      </c>
      <c r="CD12" s="113">
        <v>-1.4</v>
      </c>
      <c r="CE12" s="16">
        <v>-1.4</v>
      </c>
      <c r="CF12" s="16">
        <v>0</v>
      </c>
      <c r="CG12" s="16">
        <v>0</v>
      </c>
      <c r="CH12" s="26">
        <v>0</v>
      </c>
      <c r="CI12" s="27">
        <v>0</v>
      </c>
      <c r="CJ12" s="27">
        <v>0</v>
      </c>
      <c r="CK12" s="229">
        <v>-0.45178571428592218</v>
      </c>
      <c r="CL12" s="16">
        <v>0</v>
      </c>
      <c r="CM12" s="16">
        <v>0</v>
      </c>
      <c r="CN12" s="16">
        <v>0</v>
      </c>
      <c r="CO12" s="42">
        <v>2000</v>
      </c>
      <c r="CP12" s="32">
        <v>0</v>
      </c>
      <c r="CQ12" s="32">
        <v>0</v>
      </c>
      <c r="CR12" s="32">
        <v>0</v>
      </c>
      <c r="CS12" s="32">
        <v>0</v>
      </c>
      <c r="ANX12">
        <v>1500.000000001221</v>
      </c>
    </row>
    <row r="13" spans="1:97 1064:1064" ht="11.55" customHeight="1">
      <c r="A13" s="140">
        <v>10</v>
      </c>
      <c r="B13" s="33">
        <v>0</v>
      </c>
      <c r="C13" s="115">
        <v>45901</v>
      </c>
      <c r="D13" s="116" t="s">
        <v>148</v>
      </c>
      <c r="E13" s="15" t="s">
        <v>98</v>
      </c>
      <c r="F13" s="99" t="s">
        <v>141</v>
      </c>
      <c r="G13" s="99" t="s">
        <v>149</v>
      </c>
      <c r="H13" s="99" t="s">
        <v>150</v>
      </c>
      <c r="I13" s="84" t="s">
        <v>102</v>
      </c>
      <c r="J13" s="68">
        <v>45913</v>
      </c>
      <c r="K13" s="253" t="s">
        <v>114</v>
      </c>
      <c r="L13" s="68">
        <v>45918.152777777781</v>
      </c>
      <c r="M13" s="253" t="s">
        <v>151</v>
      </c>
      <c r="N13" s="152">
        <v>45919.298611111109</v>
      </c>
      <c r="O13" s="253" t="s">
        <v>152</v>
      </c>
      <c r="P13" s="44"/>
      <c r="Q13" s="88"/>
      <c r="R13" s="44"/>
      <c r="S13" s="88"/>
      <c r="T13" s="66">
        <v>2500</v>
      </c>
      <c r="U13" s="44">
        <v>22500</v>
      </c>
      <c r="V13" s="44">
        <v>15000</v>
      </c>
      <c r="W13" s="44"/>
      <c r="X13" s="93"/>
      <c r="Y13" s="44"/>
      <c r="Z13" s="44"/>
      <c r="AA13" s="105"/>
      <c r="AB13" s="111"/>
      <c r="AC13" s="45"/>
      <c r="AD13" s="40"/>
      <c r="AE13" s="44">
        <v>15000</v>
      </c>
      <c r="AF13" s="44"/>
      <c r="AG13" s="111"/>
      <c r="AH13" s="23"/>
      <c r="AI13" s="23">
        <v>0</v>
      </c>
      <c r="AJ13" s="44"/>
      <c r="AK13" s="23"/>
      <c r="AL13" s="44"/>
      <c r="AM13" s="44"/>
      <c r="AN13" s="23"/>
      <c r="AO13" s="23">
        <v>0</v>
      </c>
      <c r="AP13" s="23">
        <v>0</v>
      </c>
      <c r="AQ13" s="44"/>
      <c r="AR13" s="44"/>
      <c r="AS13" s="44"/>
      <c r="AT13" s="44"/>
      <c r="AU13" s="44"/>
      <c r="AV13" s="23">
        <v>0</v>
      </c>
      <c r="AW13" s="44"/>
      <c r="AX13" s="44"/>
      <c r="AY13" s="23">
        <v>0</v>
      </c>
      <c r="AZ13" s="21">
        <v>0</v>
      </c>
      <c r="BA13" s="44"/>
      <c r="BB13" s="44"/>
      <c r="BC13" s="23">
        <v>0</v>
      </c>
      <c r="BD13" s="23">
        <v>0</v>
      </c>
      <c r="BE13" s="23">
        <v>0</v>
      </c>
      <c r="BF13" s="88"/>
      <c r="BG13" s="44"/>
      <c r="BH13" s="40"/>
      <c r="BI13" s="21">
        <f>SUM(TableOngoing[[#This Row],[EBH.HCV]:[PSB.LCV]])</f>
        <v>15000</v>
      </c>
      <c r="BJ13" s="65">
        <v>55000</v>
      </c>
      <c r="BK13" s="47">
        <v>45913</v>
      </c>
      <c r="BL13" s="253" t="s">
        <v>114</v>
      </c>
      <c r="BM13" s="47">
        <v>45922</v>
      </c>
      <c r="BN13" s="253" t="s">
        <v>147</v>
      </c>
      <c r="BO13" s="71">
        <v>0.68181818181818177</v>
      </c>
      <c r="BP13" s="95" t="s">
        <v>115</v>
      </c>
      <c r="BQ13" s="50"/>
      <c r="BR13" s="75">
        <v>15.41179424896125</v>
      </c>
      <c r="BS13" s="75">
        <v>8.1214915472202414</v>
      </c>
      <c r="BT13" s="75">
        <v>5.9071910192150714</v>
      </c>
      <c r="BU13" s="75">
        <v>5.4369525769158074</v>
      </c>
      <c r="BV13" s="75">
        <v>0.85716666626110105</v>
      </c>
      <c r="BW13" s="75">
        <v>0.79615667965869608</v>
      </c>
      <c r="BX13" s="76">
        <v>6539.2974197833564</v>
      </c>
      <c r="BY13" s="76">
        <v>6026.7091401780845</v>
      </c>
      <c r="BZ13" s="76">
        <v>5713.7752591228618</v>
      </c>
      <c r="CA13" s="38">
        <v>0</v>
      </c>
      <c r="CB13" s="38">
        <v>0</v>
      </c>
      <c r="CC13" s="195">
        <v>5.2380999999999997E-2</v>
      </c>
      <c r="CD13" s="113">
        <v>2.58</v>
      </c>
      <c r="CE13" s="16">
        <v>2.58</v>
      </c>
      <c r="CF13" s="16">
        <v>0</v>
      </c>
      <c r="CG13" s="16">
        <v>0</v>
      </c>
      <c r="CH13" s="26">
        <v>0</v>
      </c>
      <c r="CI13" s="27">
        <v>0</v>
      </c>
      <c r="CJ13" s="27">
        <v>0</v>
      </c>
      <c r="CK13" s="229">
        <v>-1.447727272729125</v>
      </c>
      <c r="CL13" s="16">
        <v>0</v>
      </c>
      <c r="CM13" s="16">
        <v>0</v>
      </c>
      <c r="CN13" s="16">
        <v>0</v>
      </c>
      <c r="CO13" s="42">
        <v>1999.999999996674</v>
      </c>
      <c r="CP13" s="31">
        <v>0</v>
      </c>
      <c r="CQ13" s="31">
        <v>0</v>
      </c>
      <c r="CR13" s="31">
        <v>0</v>
      </c>
      <c r="CS13" s="31">
        <v>0</v>
      </c>
      <c r="ANX13">
        <v>1999.999999995767</v>
      </c>
    </row>
    <row r="14" spans="1:97 1064:1064" ht="11.55" customHeight="1">
      <c r="A14" s="140">
        <v>11</v>
      </c>
      <c r="B14" s="33">
        <v>0</v>
      </c>
      <c r="C14" s="115">
        <v>45901</v>
      </c>
      <c r="D14" s="116" t="s">
        <v>97</v>
      </c>
      <c r="E14" s="15" t="s">
        <v>98</v>
      </c>
      <c r="F14" s="99" t="s">
        <v>141</v>
      </c>
      <c r="G14" s="99" t="s">
        <v>145</v>
      </c>
      <c r="H14" s="99" t="s">
        <v>153</v>
      </c>
      <c r="I14" s="84" t="s">
        <v>102</v>
      </c>
      <c r="J14" s="59">
        <v>45915</v>
      </c>
      <c r="K14" s="253" t="s">
        <v>137</v>
      </c>
      <c r="L14" s="59">
        <v>45919.444444444453</v>
      </c>
      <c r="M14" s="253" t="s">
        <v>152</v>
      </c>
      <c r="N14" s="152">
        <v>45920.902777777781</v>
      </c>
      <c r="O14" s="253" t="s">
        <v>144</v>
      </c>
      <c r="P14" s="44"/>
      <c r="Q14" s="88">
        <v>11729.94</v>
      </c>
      <c r="R14" s="44"/>
      <c r="S14" s="93"/>
      <c r="T14" s="63">
        <v>45470.06</v>
      </c>
      <c r="U14" s="44"/>
      <c r="V14" s="44"/>
      <c r="W14" s="44"/>
      <c r="X14" s="93"/>
      <c r="Y14" s="44"/>
      <c r="Z14" s="44"/>
      <c r="AA14" s="105">
        <v>7500</v>
      </c>
      <c r="AB14" s="111"/>
      <c r="AC14" s="44"/>
      <c r="AD14" s="40"/>
      <c r="AE14" s="44"/>
      <c r="AF14" s="44"/>
      <c r="AG14" s="105"/>
      <c r="AH14" s="23"/>
      <c r="AI14" s="23">
        <v>0</v>
      </c>
      <c r="AJ14" s="44"/>
      <c r="AK14" s="23"/>
      <c r="AL14" s="44"/>
      <c r="AM14" s="44"/>
      <c r="AN14" s="23"/>
      <c r="AO14" s="23">
        <v>0</v>
      </c>
      <c r="AP14" s="23">
        <v>0</v>
      </c>
      <c r="AQ14" s="44"/>
      <c r="AR14" s="44"/>
      <c r="AS14" s="44">
        <v>5300</v>
      </c>
      <c r="AT14" s="45"/>
      <c r="AU14" s="44"/>
      <c r="AV14" s="23">
        <v>0</v>
      </c>
      <c r="AW14" s="44"/>
      <c r="AX14" s="44"/>
      <c r="AY14" s="23">
        <v>0</v>
      </c>
      <c r="AZ14" s="21">
        <v>0</v>
      </c>
      <c r="BA14" s="44"/>
      <c r="BB14" s="44"/>
      <c r="BC14" s="23">
        <v>0</v>
      </c>
      <c r="BD14" s="23">
        <v>0</v>
      </c>
      <c r="BE14" s="23">
        <v>0</v>
      </c>
      <c r="BF14" s="88"/>
      <c r="BG14" s="44"/>
      <c r="BH14" s="40"/>
      <c r="BI14" s="21">
        <f>SUM(TableOngoing[[#This Row],[EBH.HCV]:[PSB.LCV]])</f>
        <v>5300</v>
      </c>
      <c r="BJ14" s="46">
        <v>70000</v>
      </c>
      <c r="BK14" s="47">
        <v>45915</v>
      </c>
      <c r="BL14" s="253" t="s">
        <v>137</v>
      </c>
      <c r="BM14" s="47">
        <v>45924</v>
      </c>
      <c r="BN14" s="253" t="s">
        <v>154</v>
      </c>
      <c r="BO14" s="71">
        <v>0.81714285714285717</v>
      </c>
      <c r="BP14" s="95" t="s">
        <v>115</v>
      </c>
      <c r="BQ14" s="50"/>
      <c r="BR14" s="75">
        <v>19.280825062664199</v>
      </c>
      <c r="BS14" s="75">
        <v>11.91746645089917</v>
      </c>
      <c r="BT14" s="75">
        <v>6.3082996894325367</v>
      </c>
      <c r="BU14" s="75">
        <v>5.6515255977564962</v>
      </c>
      <c r="BV14" s="75">
        <v>1.9991400075308541</v>
      </c>
      <c r="BW14" s="75">
        <v>1.888603989961974</v>
      </c>
      <c r="BX14" s="76">
        <v>5959.8222055811984</v>
      </c>
      <c r="BY14" s="76">
        <v>5479.9040953792564</v>
      </c>
      <c r="BZ14" s="76">
        <v>5168.5399554991127</v>
      </c>
      <c r="CA14" s="38">
        <v>0</v>
      </c>
      <c r="CB14" s="38">
        <v>0</v>
      </c>
      <c r="CC14" s="195">
        <v>-0.502112</v>
      </c>
      <c r="CD14" s="113">
        <v>0.23</v>
      </c>
      <c r="CE14" s="16">
        <v>0.23</v>
      </c>
      <c r="CF14" s="16">
        <v>0</v>
      </c>
      <c r="CG14" s="16">
        <v>0</v>
      </c>
      <c r="CH14" s="26">
        <v>0</v>
      </c>
      <c r="CI14" s="27">
        <v>0</v>
      </c>
      <c r="CJ14" s="27">
        <v>0</v>
      </c>
      <c r="CK14" s="229">
        <v>-0.93928571428654584</v>
      </c>
      <c r="CL14" s="16">
        <v>0</v>
      </c>
      <c r="CM14" s="16">
        <v>0</v>
      </c>
      <c r="CN14" s="16">
        <v>0</v>
      </c>
      <c r="CO14" s="42">
        <v>1899.999999998231</v>
      </c>
      <c r="CP14" s="32">
        <v>0</v>
      </c>
      <c r="CQ14" s="32">
        <v>0</v>
      </c>
      <c r="CR14" s="32">
        <v>0</v>
      </c>
      <c r="CS14" s="32">
        <v>0</v>
      </c>
      <c r="ANX14">
        <v>1999.999999995767</v>
      </c>
    </row>
    <row r="15" spans="1:97 1064:1064" ht="11.55" customHeight="1">
      <c r="A15" s="140">
        <v>12</v>
      </c>
      <c r="B15" s="33">
        <v>0</v>
      </c>
      <c r="C15" s="122">
        <v>45901</v>
      </c>
      <c r="D15" s="116" t="s">
        <v>155</v>
      </c>
      <c r="E15" s="15" t="s">
        <v>98</v>
      </c>
      <c r="F15" s="99" t="s">
        <v>156</v>
      </c>
      <c r="G15" s="99" t="s">
        <v>157</v>
      </c>
      <c r="H15" s="99" t="s">
        <v>158</v>
      </c>
      <c r="I15" s="84" t="s">
        <v>102</v>
      </c>
      <c r="J15" s="68">
        <v>45916</v>
      </c>
      <c r="K15" s="253" t="s">
        <v>159</v>
      </c>
      <c r="L15" s="68">
        <v>45921.208333333343</v>
      </c>
      <c r="M15" s="253" t="s">
        <v>160</v>
      </c>
      <c r="N15" s="152">
        <v>45922.736111111109</v>
      </c>
      <c r="O15" s="253" t="s">
        <v>147</v>
      </c>
      <c r="P15" s="44"/>
      <c r="Q15" s="93"/>
      <c r="R15" s="93"/>
      <c r="S15" s="93">
        <v>10000</v>
      </c>
      <c r="T15" s="66">
        <v>8800</v>
      </c>
      <c r="U15" s="44"/>
      <c r="V15" s="44"/>
      <c r="W15" s="44"/>
      <c r="X15" s="44">
        <v>7500</v>
      </c>
      <c r="Y15" s="44"/>
      <c r="Z15" s="44"/>
      <c r="AA15" s="111">
        <v>7500</v>
      </c>
      <c r="AB15" s="111"/>
      <c r="AC15" s="44"/>
      <c r="AD15" s="40"/>
      <c r="AE15" s="44"/>
      <c r="AF15" s="44"/>
      <c r="AG15" s="105"/>
      <c r="AH15" s="23"/>
      <c r="AI15" s="23">
        <v>0</v>
      </c>
      <c r="AJ15" s="44"/>
      <c r="AK15" s="23"/>
      <c r="AL15" s="44"/>
      <c r="AM15" s="44"/>
      <c r="AN15" s="23"/>
      <c r="AO15" s="23">
        <v>0</v>
      </c>
      <c r="AP15" s="23">
        <v>0</v>
      </c>
      <c r="AQ15" s="45"/>
      <c r="AR15" s="44"/>
      <c r="AS15" s="44">
        <v>5300</v>
      </c>
      <c r="AT15" s="44">
        <v>15900</v>
      </c>
      <c r="AU15" s="44"/>
      <c r="AV15" s="23">
        <v>0</v>
      </c>
      <c r="AW15" s="44"/>
      <c r="AX15" s="44"/>
      <c r="AY15" s="23">
        <v>0</v>
      </c>
      <c r="AZ15" s="21">
        <v>0</v>
      </c>
      <c r="BA15" s="44"/>
      <c r="BB15" s="44"/>
      <c r="BC15" s="23">
        <v>0</v>
      </c>
      <c r="BD15" s="23">
        <v>0</v>
      </c>
      <c r="BE15" s="23">
        <v>0</v>
      </c>
      <c r="BF15" s="88"/>
      <c r="BG15" s="44"/>
      <c r="BH15" s="40"/>
      <c r="BI15" s="21">
        <f>SUM(TableOngoing[[#This Row],[EBH.HCV]:[PSB.LCV]])</f>
        <v>21200</v>
      </c>
      <c r="BJ15" s="65">
        <v>55000</v>
      </c>
      <c r="BK15" s="47">
        <v>45916</v>
      </c>
      <c r="BL15" s="253" t="s">
        <v>159</v>
      </c>
      <c r="BM15" s="47">
        <v>45925</v>
      </c>
      <c r="BN15" s="253" t="s">
        <v>161</v>
      </c>
      <c r="BO15" s="72">
        <v>0.38545454545454538</v>
      </c>
      <c r="BP15" s="95" t="s">
        <v>115</v>
      </c>
      <c r="BQ15" s="50"/>
      <c r="BR15" s="75">
        <v>27.489847960956808</v>
      </c>
      <c r="BS15" s="75">
        <v>13.80157796512286</v>
      </c>
      <c r="BT15" s="75">
        <v>6.0828840456338966</v>
      </c>
      <c r="BU15" s="75">
        <v>4.9624930098338558</v>
      </c>
      <c r="BV15" s="75">
        <v>0.90830921573415824</v>
      </c>
      <c r="BW15" s="75">
        <v>0.83552197913408022</v>
      </c>
      <c r="BX15" s="76">
        <v>5703.1675142179702</v>
      </c>
      <c r="BY15" s="76">
        <v>4833.1775880164514</v>
      </c>
      <c r="BZ15" s="76">
        <v>4499.9562060733151</v>
      </c>
      <c r="CA15" s="38">
        <v>0</v>
      </c>
      <c r="CB15" s="38">
        <v>0</v>
      </c>
      <c r="CC15" s="195">
        <v>-1.213E-2</v>
      </c>
      <c r="CD15" s="113">
        <v>-5.8000000000000003E-2</v>
      </c>
      <c r="CE15" s="16">
        <v>-5.8000000000000003E-2</v>
      </c>
      <c r="CF15" s="16">
        <v>0</v>
      </c>
      <c r="CG15" s="16">
        <v>0</v>
      </c>
      <c r="CH15" s="26">
        <v>0</v>
      </c>
      <c r="CI15" s="27">
        <v>0</v>
      </c>
      <c r="CJ15" s="27">
        <v>0</v>
      </c>
      <c r="CK15" s="229">
        <v>-1.5909090909109429</v>
      </c>
      <c r="CL15" s="16">
        <v>0</v>
      </c>
      <c r="CM15" s="16">
        <v>0</v>
      </c>
      <c r="CN15" s="16">
        <v>0</v>
      </c>
      <c r="CO15" s="42">
        <v>2000.000000003424</v>
      </c>
      <c r="CP15" s="32">
        <v>0</v>
      </c>
      <c r="CQ15" s="32">
        <v>0</v>
      </c>
      <c r="CR15" s="32">
        <v>0</v>
      </c>
      <c r="CS15" s="32">
        <v>0</v>
      </c>
      <c r="ANX15">
        <v>1499.9999999993761</v>
      </c>
    </row>
    <row r="16" spans="1:97 1064:1064" ht="11.55" customHeight="1">
      <c r="A16" s="132">
        <v>13</v>
      </c>
      <c r="B16" s="33">
        <v>0</v>
      </c>
      <c r="C16" s="115">
        <v>45901</v>
      </c>
      <c r="D16" s="116" t="s">
        <v>97</v>
      </c>
      <c r="E16" s="15" t="s">
        <v>98</v>
      </c>
      <c r="F16" s="99" t="s">
        <v>141</v>
      </c>
      <c r="G16" s="99" t="s">
        <v>110</v>
      </c>
      <c r="H16" s="99" t="s">
        <v>162</v>
      </c>
      <c r="I16" s="85" t="s">
        <v>102</v>
      </c>
      <c r="J16" s="59">
        <v>45918</v>
      </c>
      <c r="K16" s="253" t="s">
        <v>151</v>
      </c>
      <c r="L16" s="59">
        <v>45922.875</v>
      </c>
      <c r="M16" s="253" t="s">
        <v>147</v>
      </c>
      <c r="N16" s="151">
        <v>45924.4375</v>
      </c>
      <c r="O16" s="253" t="s">
        <v>154</v>
      </c>
      <c r="P16" s="45"/>
      <c r="Q16" s="88">
        <v>10000</v>
      </c>
      <c r="R16" s="63"/>
      <c r="S16" s="88"/>
      <c r="T16" s="45">
        <v>42500</v>
      </c>
      <c r="U16" s="44"/>
      <c r="V16" s="44"/>
      <c r="W16" s="44"/>
      <c r="X16" s="58"/>
      <c r="Y16" s="44"/>
      <c r="Z16" s="44"/>
      <c r="AA16" s="111"/>
      <c r="AB16" s="111"/>
      <c r="AC16" s="44"/>
      <c r="AD16" s="40"/>
      <c r="AE16" s="44"/>
      <c r="AF16" s="44">
        <v>7500</v>
      </c>
      <c r="AG16" s="111"/>
      <c r="AH16" s="23"/>
      <c r="AI16" s="23">
        <v>0</v>
      </c>
      <c r="AJ16" s="44"/>
      <c r="AK16" s="44"/>
      <c r="AL16" s="44"/>
      <c r="AM16" s="44"/>
      <c r="AN16" s="23"/>
      <c r="AO16" s="23">
        <v>0</v>
      </c>
      <c r="AP16" s="23">
        <v>0</v>
      </c>
      <c r="AQ16" s="44">
        <v>15000</v>
      </c>
      <c r="AR16" s="44"/>
      <c r="AS16" s="44"/>
      <c r="AT16" s="44"/>
      <c r="AU16" s="44"/>
      <c r="AV16" s="23">
        <v>0</v>
      </c>
      <c r="AW16" s="45"/>
      <c r="AX16" s="44"/>
      <c r="AY16" s="23">
        <v>0</v>
      </c>
      <c r="AZ16" s="21">
        <v>0</v>
      </c>
      <c r="BA16" s="44"/>
      <c r="BB16" s="44"/>
      <c r="BC16" s="23">
        <v>0</v>
      </c>
      <c r="BD16" s="23">
        <v>0</v>
      </c>
      <c r="BE16" s="23">
        <v>0</v>
      </c>
      <c r="BF16" s="93"/>
      <c r="BG16" s="44"/>
      <c r="BH16" s="40"/>
      <c r="BI16" s="21">
        <f>SUM(TableOngoing[[#This Row],[EBH.HCV]:[PSB.LCV]])</f>
        <v>22500</v>
      </c>
      <c r="BJ16" s="46">
        <v>75000</v>
      </c>
      <c r="BK16" s="47">
        <v>45918</v>
      </c>
      <c r="BL16" s="253" t="s">
        <v>151</v>
      </c>
      <c r="BM16" s="47">
        <v>45927</v>
      </c>
      <c r="BN16" s="253" t="s">
        <v>163</v>
      </c>
      <c r="BO16" s="73">
        <v>0.7</v>
      </c>
      <c r="BP16" s="95" t="s">
        <v>115</v>
      </c>
      <c r="BQ16" s="50"/>
      <c r="BR16" s="75">
        <v>20.067</v>
      </c>
      <c r="BS16" s="75">
        <v>11.967000000000001</v>
      </c>
      <c r="BT16" s="75">
        <v>5.3048618593497299</v>
      </c>
      <c r="BU16" s="75">
        <v>4.8610471480684634</v>
      </c>
      <c r="BV16" s="75">
        <v>1.7963360548733269</v>
      </c>
      <c r="BW16" s="75">
        <v>1.6989920169480379</v>
      </c>
      <c r="BX16" s="76">
        <v>5963.3</v>
      </c>
      <c r="BY16" s="76">
        <v>5426.3902251451318</v>
      </c>
      <c r="BZ16" s="76">
        <v>5106.3805786171324</v>
      </c>
      <c r="CA16" s="38">
        <v>0</v>
      </c>
      <c r="CB16" s="38">
        <v>0</v>
      </c>
      <c r="CC16" s="195">
        <v>-0.67120999999999997</v>
      </c>
      <c r="CD16" s="113">
        <v>7.4999999999999997E-2</v>
      </c>
      <c r="CE16" s="16">
        <v>7.4999999999999997E-2</v>
      </c>
      <c r="CF16" s="16">
        <v>0</v>
      </c>
      <c r="CG16" s="16">
        <v>0</v>
      </c>
      <c r="CH16" s="26">
        <v>0</v>
      </c>
      <c r="CI16" s="27">
        <v>0</v>
      </c>
      <c r="CJ16" s="27">
        <v>0</v>
      </c>
      <c r="CK16" s="229">
        <v>-0.97499999999999998</v>
      </c>
      <c r="CL16" s="16">
        <v>0</v>
      </c>
      <c r="CM16" s="16">
        <v>0</v>
      </c>
      <c r="CN16" s="16">
        <v>0</v>
      </c>
      <c r="CO16" s="42">
        <v>1999.9999999989691</v>
      </c>
      <c r="CP16" s="32">
        <v>0</v>
      </c>
      <c r="CQ16" s="32">
        <v>0</v>
      </c>
      <c r="CR16" s="32">
        <v>0</v>
      </c>
      <c r="CS16" s="32">
        <v>0</v>
      </c>
      <c r="ANX16">
        <v>1899.999999999837</v>
      </c>
    </row>
    <row r="17" spans="1:97 1064:1064" ht="11.55" customHeight="1">
      <c r="A17" s="140">
        <v>14</v>
      </c>
      <c r="B17" s="33">
        <v>0</v>
      </c>
      <c r="C17" s="115">
        <v>45901</v>
      </c>
      <c r="D17" s="116" t="s">
        <v>97</v>
      </c>
      <c r="E17" s="15" t="s">
        <v>98</v>
      </c>
      <c r="F17" s="99" t="s">
        <v>164</v>
      </c>
      <c r="G17" s="99" t="s">
        <v>165</v>
      </c>
      <c r="H17" s="99" t="s">
        <v>166</v>
      </c>
      <c r="I17" s="84" t="s">
        <v>102</v>
      </c>
      <c r="J17" s="59">
        <v>45921</v>
      </c>
      <c r="K17" s="253" t="s">
        <v>160</v>
      </c>
      <c r="L17" s="59">
        <v>45924.583333333343</v>
      </c>
      <c r="M17" s="253" t="s">
        <v>154</v>
      </c>
      <c r="N17" s="151">
        <v>45926.145833333343</v>
      </c>
      <c r="O17" s="253" t="s">
        <v>167</v>
      </c>
      <c r="P17" s="44">
        <v>46371.18</v>
      </c>
      <c r="Q17" s="88"/>
      <c r="R17" s="44"/>
      <c r="S17" s="88">
        <v>6128.8200000000006</v>
      </c>
      <c r="T17" s="45"/>
      <c r="U17" s="44"/>
      <c r="V17" s="44"/>
      <c r="W17" s="44"/>
      <c r="X17" s="44">
        <v>15000</v>
      </c>
      <c r="Y17" s="44">
        <v>7500</v>
      </c>
      <c r="Z17" s="44"/>
      <c r="AA17" s="111"/>
      <c r="AB17" s="111"/>
      <c r="AC17" s="44"/>
      <c r="AD17" s="40"/>
      <c r="AE17" s="44"/>
      <c r="AF17" s="58"/>
      <c r="AG17" s="111"/>
      <c r="AH17" s="23"/>
      <c r="AI17" s="23">
        <v>0</v>
      </c>
      <c r="AJ17" s="44"/>
      <c r="AK17" s="23"/>
      <c r="AL17" s="44"/>
      <c r="AM17" s="44"/>
      <c r="AN17" s="23"/>
      <c r="AO17" s="23">
        <v>0</v>
      </c>
      <c r="AP17" s="23">
        <v>0</v>
      </c>
      <c r="AQ17" s="44"/>
      <c r="AR17" s="44"/>
      <c r="AS17" s="58"/>
      <c r="AT17" s="44"/>
      <c r="AU17" s="44"/>
      <c r="AV17" s="23">
        <v>0</v>
      </c>
      <c r="AW17" s="44"/>
      <c r="AX17" s="44"/>
      <c r="AY17" s="23">
        <v>0</v>
      </c>
      <c r="AZ17" s="21">
        <v>0</v>
      </c>
      <c r="BA17" s="44"/>
      <c r="BB17" s="44"/>
      <c r="BC17" s="23">
        <v>0</v>
      </c>
      <c r="BD17" s="23">
        <v>0</v>
      </c>
      <c r="BE17" s="23">
        <v>0</v>
      </c>
      <c r="BF17" s="40"/>
      <c r="BG17" s="45"/>
      <c r="BH17" s="40"/>
      <c r="BI17" s="21">
        <f>SUM(TableOngoing[[#This Row],[EBH.HCV]:[PSB.LCV]])</f>
        <v>0</v>
      </c>
      <c r="BJ17" s="46">
        <v>75000</v>
      </c>
      <c r="BK17" s="47">
        <v>45917</v>
      </c>
      <c r="BL17" s="253" t="s">
        <v>132</v>
      </c>
      <c r="BM17" s="47">
        <v>45926</v>
      </c>
      <c r="BN17" s="253" t="s">
        <v>167</v>
      </c>
      <c r="BO17" s="71">
        <v>0.7</v>
      </c>
      <c r="BP17" s="95" t="s">
        <v>115</v>
      </c>
      <c r="BQ17" s="50"/>
      <c r="BR17" s="75">
        <v>14.687337981589909</v>
      </c>
      <c r="BS17" s="75">
        <v>9.6671359765266924</v>
      </c>
      <c r="BT17" s="75">
        <v>5.5927279583130236</v>
      </c>
      <c r="BU17" s="75">
        <v>5.2822961923461049</v>
      </c>
      <c r="BV17" s="75">
        <v>1.0282882855098161</v>
      </c>
      <c r="BW17" s="75">
        <v>0.97161338857340118</v>
      </c>
      <c r="BX17" s="76">
        <v>6501.5604368833183</v>
      </c>
      <c r="BY17" s="76">
        <v>6139.9327217736436</v>
      </c>
      <c r="BZ17" s="76">
        <v>5837.6139780397152</v>
      </c>
      <c r="CA17" s="38">
        <v>0</v>
      </c>
      <c r="CB17" s="38">
        <v>0</v>
      </c>
      <c r="CC17" s="195">
        <v>0.20011999999999999</v>
      </c>
      <c r="CD17" s="113">
        <v>0.56000000000000005</v>
      </c>
      <c r="CE17" s="16">
        <v>0.56000000000000005</v>
      </c>
      <c r="CF17" s="16">
        <v>0</v>
      </c>
      <c r="CG17" s="16">
        <v>0</v>
      </c>
      <c r="CH17" s="26">
        <v>0</v>
      </c>
      <c r="CI17" s="27">
        <v>0</v>
      </c>
      <c r="CJ17" s="27">
        <v>0</v>
      </c>
      <c r="CK17" s="229">
        <v>-0.66500000000058213</v>
      </c>
      <c r="CL17" s="16">
        <v>0</v>
      </c>
      <c r="CM17" s="16">
        <v>0</v>
      </c>
      <c r="CN17" s="16">
        <v>0</v>
      </c>
      <c r="CO17" s="42">
        <v>1499.9999999993761</v>
      </c>
      <c r="CP17" s="31">
        <v>0</v>
      </c>
      <c r="CQ17" s="31">
        <v>0</v>
      </c>
      <c r="CR17" s="31">
        <v>0</v>
      </c>
      <c r="CS17" s="31">
        <v>0</v>
      </c>
      <c r="ANX17">
        <v>2000.000000003424</v>
      </c>
    </row>
    <row r="18" spans="1:97 1064:1064" ht="11.55" customHeight="1">
      <c r="A18" s="140">
        <v>15</v>
      </c>
      <c r="B18" s="33">
        <v>0</v>
      </c>
      <c r="C18" s="121">
        <v>45901</v>
      </c>
      <c r="D18" s="101" t="s">
        <v>97</v>
      </c>
      <c r="E18" s="15" t="s">
        <v>98</v>
      </c>
      <c r="F18" s="107" t="s">
        <v>141</v>
      </c>
      <c r="G18" s="107" t="s">
        <v>100</v>
      </c>
      <c r="H18" s="107" t="s">
        <v>168</v>
      </c>
      <c r="I18" s="81" t="s">
        <v>102</v>
      </c>
      <c r="J18" s="59">
        <v>45924</v>
      </c>
      <c r="K18" s="253" t="s">
        <v>154</v>
      </c>
      <c r="L18" s="86">
        <v>45926.291666666657</v>
      </c>
      <c r="M18" s="253" t="s">
        <v>167</v>
      </c>
      <c r="N18" s="153">
        <v>45927.4375</v>
      </c>
      <c r="O18" s="253" t="s">
        <v>163</v>
      </c>
      <c r="P18" s="44"/>
      <c r="Q18" s="88"/>
      <c r="R18" s="44"/>
      <c r="S18" s="88"/>
      <c r="T18" s="45">
        <v>55000</v>
      </c>
      <c r="U18" s="44"/>
      <c r="V18" s="44"/>
      <c r="W18" s="44"/>
      <c r="X18" s="44"/>
      <c r="Y18" s="44"/>
      <c r="Z18" s="44"/>
      <c r="AA18" s="111"/>
      <c r="AB18" s="111"/>
      <c r="AC18" s="44"/>
      <c r="AD18" s="40"/>
      <c r="AE18" s="44"/>
      <c r="AF18" s="44"/>
      <c r="AG18" s="111"/>
      <c r="AH18" s="23"/>
      <c r="AI18" s="23">
        <v>0</v>
      </c>
      <c r="AJ18" s="44"/>
      <c r="AK18" s="23"/>
      <c r="AL18" s="44"/>
      <c r="AM18" s="44"/>
      <c r="AN18" s="23"/>
      <c r="AO18" s="23">
        <v>0</v>
      </c>
      <c r="AP18" s="23">
        <v>0</v>
      </c>
      <c r="AQ18" s="44"/>
      <c r="AR18" s="44"/>
      <c r="AS18" s="44"/>
      <c r="AT18" s="44"/>
      <c r="AU18" s="44"/>
      <c r="AV18" s="23">
        <v>0</v>
      </c>
      <c r="AW18" s="45"/>
      <c r="AX18" s="44"/>
      <c r="AY18" s="23">
        <v>0</v>
      </c>
      <c r="AZ18" s="21">
        <v>0</v>
      </c>
      <c r="BA18" s="44"/>
      <c r="BB18" s="44"/>
      <c r="BC18" s="23">
        <v>0</v>
      </c>
      <c r="BD18" s="23">
        <v>0</v>
      </c>
      <c r="BE18" s="23">
        <v>0</v>
      </c>
      <c r="BF18" s="40"/>
      <c r="BG18" s="44"/>
      <c r="BH18" s="40"/>
      <c r="BI18" s="21">
        <f>SUM(TableOngoing[[#This Row],[EBH.HCV]:[PSB.LCV]])</f>
        <v>0</v>
      </c>
      <c r="BJ18" s="46">
        <v>55000</v>
      </c>
      <c r="BK18" s="47">
        <v>45924</v>
      </c>
      <c r="BL18" s="253" t="s">
        <v>154</v>
      </c>
      <c r="BM18" s="47">
        <v>45933</v>
      </c>
      <c r="BN18" s="253" t="s">
        <v>169</v>
      </c>
      <c r="BO18" s="73">
        <v>1</v>
      </c>
      <c r="BP18" s="94" t="s">
        <v>115</v>
      </c>
      <c r="BQ18" s="50"/>
      <c r="BR18" s="75">
        <v>15.22</v>
      </c>
      <c r="BS18" s="75">
        <v>11.19</v>
      </c>
      <c r="BT18" s="75">
        <v>4.9400000000000004</v>
      </c>
      <c r="BU18" s="75">
        <v>4.7158338024997191</v>
      </c>
      <c r="BV18" s="75">
        <v>2.37</v>
      </c>
      <c r="BW18" s="75">
        <v>2.2624546785271931</v>
      </c>
      <c r="BX18" s="76">
        <v>6095</v>
      </c>
      <c r="BY18" s="76">
        <v>5818.4224749465147</v>
      </c>
      <c r="BZ18" s="76">
        <v>5516.8867147065148</v>
      </c>
      <c r="CA18" s="38">
        <v>0</v>
      </c>
      <c r="CB18" s="38">
        <v>0</v>
      </c>
      <c r="CC18" s="195">
        <v>0.67129099999999997</v>
      </c>
      <c r="CD18" s="114">
        <v>1.34</v>
      </c>
      <c r="CE18" s="16">
        <v>1.34</v>
      </c>
      <c r="CF18" s="16">
        <v>0</v>
      </c>
      <c r="CG18" s="16">
        <v>0</v>
      </c>
      <c r="CH18" s="26">
        <v>0</v>
      </c>
      <c r="CI18" s="27">
        <v>0</v>
      </c>
      <c r="CJ18" s="27">
        <v>0</v>
      </c>
      <c r="CK18" s="229">
        <v>-0.51136363636363635</v>
      </c>
      <c r="CL18" s="16">
        <v>0</v>
      </c>
      <c r="CM18" s="16">
        <v>0</v>
      </c>
      <c r="CN18" s="16">
        <v>0</v>
      </c>
      <c r="CO18" s="42">
        <v>1999.999999995767</v>
      </c>
      <c r="CP18" s="32">
        <v>0</v>
      </c>
      <c r="CQ18" s="32">
        <v>0</v>
      </c>
      <c r="CR18" s="32">
        <v>0</v>
      </c>
      <c r="CS18" s="32">
        <v>0</v>
      </c>
      <c r="ANX18">
        <v>1899.999999998231</v>
      </c>
    </row>
    <row r="19" spans="1:97 1064:1064" ht="11.55" customHeight="1">
      <c r="A19" s="140">
        <v>16</v>
      </c>
      <c r="B19" s="33">
        <v>0</v>
      </c>
      <c r="C19" s="121">
        <v>45901</v>
      </c>
      <c r="D19" s="101" t="s">
        <v>133</v>
      </c>
      <c r="E19" s="15" t="s">
        <v>98</v>
      </c>
      <c r="F19" s="107" t="s">
        <v>141</v>
      </c>
      <c r="G19" s="107" t="s">
        <v>170</v>
      </c>
      <c r="H19" s="107" t="s">
        <v>171</v>
      </c>
      <c r="I19" s="81" t="s">
        <v>102</v>
      </c>
      <c r="J19" s="59">
        <v>45923</v>
      </c>
      <c r="K19" s="253" t="s">
        <v>172</v>
      </c>
      <c r="L19" s="86">
        <v>45927.604166666657</v>
      </c>
      <c r="M19" s="253" t="s">
        <v>163</v>
      </c>
      <c r="N19" s="151">
        <v>45929.0625</v>
      </c>
      <c r="O19" s="253" t="s">
        <v>173</v>
      </c>
      <c r="P19" s="45"/>
      <c r="Q19" s="88"/>
      <c r="R19" s="44"/>
      <c r="S19" s="77"/>
      <c r="T19" s="45">
        <v>2500</v>
      </c>
      <c r="U19" s="44"/>
      <c r="V19" s="44"/>
      <c r="W19" s="44"/>
      <c r="X19" s="44">
        <v>45000</v>
      </c>
      <c r="Y19" s="44">
        <v>15000</v>
      </c>
      <c r="Z19" s="44"/>
      <c r="AA19" s="111"/>
      <c r="AB19" s="111"/>
      <c r="AC19" s="45"/>
      <c r="AD19" s="40"/>
      <c r="AE19" s="44">
        <v>7500</v>
      </c>
      <c r="AF19" s="44"/>
      <c r="AG19" s="111"/>
      <c r="AH19" s="23"/>
      <c r="AI19" s="23"/>
      <c r="AJ19" s="44"/>
      <c r="AK19" s="23"/>
      <c r="AL19" s="44"/>
      <c r="AM19" s="44"/>
      <c r="AN19" s="23"/>
      <c r="AO19" s="23"/>
      <c r="AP19" s="23"/>
      <c r="AQ19" s="45"/>
      <c r="AR19" s="44"/>
      <c r="AS19" s="44"/>
      <c r="AT19" s="44"/>
      <c r="AU19" s="44"/>
      <c r="AV19" s="23"/>
      <c r="AW19" s="44"/>
      <c r="AX19" s="44"/>
      <c r="AY19" s="23"/>
      <c r="AZ19" s="21"/>
      <c r="BA19" s="44"/>
      <c r="BB19" s="45"/>
      <c r="BC19" s="23"/>
      <c r="BD19" s="23"/>
      <c r="BE19" s="23"/>
      <c r="BF19" s="40"/>
      <c r="BG19" s="45"/>
      <c r="BH19" s="40"/>
      <c r="BI19" s="21"/>
      <c r="BJ19" s="46">
        <v>70000</v>
      </c>
      <c r="BK19" s="47">
        <v>45923</v>
      </c>
      <c r="BL19" s="87" t="s">
        <v>172</v>
      </c>
      <c r="BM19" s="47">
        <v>45932</v>
      </c>
      <c r="BN19" s="64" t="s">
        <v>174</v>
      </c>
      <c r="BO19" s="73">
        <v>0.8571428571428571</v>
      </c>
      <c r="BP19" s="94" t="s">
        <v>115</v>
      </c>
      <c r="BQ19" s="50"/>
      <c r="BR19" s="75">
        <v>16.68108872415209</v>
      </c>
      <c r="BS19" s="75">
        <v>10.768160717128801</v>
      </c>
      <c r="BT19" s="75">
        <v>4.9447946401007066</v>
      </c>
      <c r="BU19" s="75">
        <v>4.6139009692233648</v>
      </c>
      <c r="BV19" s="75">
        <v>0.95615031479779689</v>
      </c>
      <c r="BW19" s="75">
        <v>0.89777156769746247</v>
      </c>
      <c r="BX19" s="76">
        <v>6429.4312115447947</v>
      </c>
      <c r="BY19" s="76">
        <v>6006.2374561798424</v>
      </c>
      <c r="BZ19" s="76">
        <v>5690.4909903961989</v>
      </c>
      <c r="CA19" s="38"/>
      <c r="CB19" s="38"/>
      <c r="CC19" s="195">
        <v>0.76052319999999995</v>
      </c>
      <c r="CD19" s="114"/>
      <c r="CE19" s="16"/>
      <c r="CF19" s="16"/>
      <c r="CG19" s="16"/>
      <c r="CH19" s="26"/>
      <c r="CI19" s="27"/>
      <c r="CJ19" s="27"/>
      <c r="CK19" s="229">
        <v>-0.98035714285714282</v>
      </c>
      <c r="CL19" s="16"/>
      <c r="CM19" s="16"/>
      <c r="CN19" s="16"/>
      <c r="CO19" s="42"/>
      <c r="CP19" s="31"/>
      <c r="CQ19" s="31"/>
      <c r="CR19" s="31"/>
      <c r="CS19" s="31"/>
    </row>
    <row r="20" spans="1:97 1064:1064" ht="11.55" customHeight="1">
      <c r="A20" s="132">
        <v>17</v>
      </c>
      <c r="B20" s="33">
        <v>0</v>
      </c>
      <c r="C20" s="121">
        <v>45902</v>
      </c>
      <c r="D20" s="101" t="s">
        <v>97</v>
      </c>
      <c r="E20" s="15" t="s">
        <v>98</v>
      </c>
      <c r="F20" s="107" t="s">
        <v>141</v>
      </c>
      <c r="G20" s="107" t="s">
        <v>175</v>
      </c>
      <c r="H20" s="103" t="s">
        <v>176</v>
      </c>
      <c r="I20" s="81" t="s">
        <v>102</v>
      </c>
      <c r="J20" s="68">
        <v>45926</v>
      </c>
      <c r="K20" s="253" t="s">
        <v>167</v>
      </c>
      <c r="L20" s="69">
        <v>45929.208333333343</v>
      </c>
      <c r="M20" s="253" t="s">
        <v>173</v>
      </c>
      <c r="N20" s="152">
        <v>45930.625</v>
      </c>
      <c r="O20" s="253" t="s">
        <v>177</v>
      </c>
      <c r="P20" s="44"/>
      <c r="Q20" s="44">
        <v>15165.96</v>
      </c>
      <c r="R20" s="44"/>
      <c r="S20" s="66"/>
      <c r="T20" s="44">
        <v>32234.04</v>
      </c>
      <c r="U20" s="44"/>
      <c r="V20" s="44"/>
      <c r="W20" s="44"/>
      <c r="X20" s="44"/>
      <c r="Y20" s="44"/>
      <c r="Z20" s="44"/>
      <c r="AA20" s="44"/>
      <c r="AB20" s="44"/>
      <c r="AC20" s="44"/>
      <c r="AD20" s="40"/>
      <c r="AE20" s="44"/>
      <c r="AF20" s="44"/>
      <c r="AG20" s="44"/>
      <c r="AH20" s="23"/>
      <c r="AI20" s="23"/>
      <c r="AJ20" s="44"/>
      <c r="AK20" s="23"/>
      <c r="AL20" s="44">
        <v>5300</v>
      </c>
      <c r="AM20" s="44">
        <v>5300</v>
      </c>
      <c r="AN20" s="23"/>
      <c r="AO20" s="23"/>
      <c r="AP20" s="23"/>
      <c r="AQ20" s="44"/>
      <c r="AR20" s="44"/>
      <c r="AS20" s="44"/>
      <c r="AT20" s="44"/>
      <c r="AU20" s="44"/>
      <c r="AV20" s="23"/>
      <c r="AW20" s="44">
        <v>10000</v>
      </c>
      <c r="AX20" s="44"/>
      <c r="AY20" s="23"/>
      <c r="AZ20" s="21"/>
      <c r="BA20" s="44"/>
      <c r="BB20" s="44"/>
      <c r="BC20" s="23"/>
      <c r="BD20" s="23"/>
      <c r="BE20" s="23"/>
      <c r="BF20" s="40"/>
      <c r="BG20" s="44"/>
      <c r="BH20" s="40"/>
      <c r="BI20" s="21"/>
      <c r="BJ20" s="65">
        <v>68000</v>
      </c>
      <c r="BK20" s="47">
        <v>45926</v>
      </c>
      <c r="BL20" s="64" t="s">
        <v>167</v>
      </c>
      <c r="BM20" s="47">
        <v>45935</v>
      </c>
      <c r="BN20" s="64" t="s">
        <v>178</v>
      </c>
      <c r="BO20" s="71">
        <v>0.69705882352941173</v>
      </c>
      <c r="BP20" s="94" t="s">
        <v>115</v>
      </c>
      <c r="BQ20" s="50"/>
      <c r="BR20" s="75">
        <v>22.291132846923311</v>
      </c>
      <c r="BS20" s="75">
        <v>11.8752702691443</v>
      </c>
      <c r="BT20" s="75">
        <v>5.9539076770690036</v>
      </c>
      <c r="BU20" s="75">
        <v>5.2776458455706292</v>
      </c>
      <c r="BV20" s="75">
        <v>1.7789953779009771</v>
      </c>
      <c r="BW20" s="75">
        <v>1.6661088678910929</v>
      </c>
      <c r="BX20" s="76">
        <v>5972.3811540633906</v>
      </c>
      <c r="BY20" s="76">
        <v>5287.7055367160046</v>
      </c>
      <c r="BZ20" s="76">
        <v>4965.8106448250765</v>
      </c>
      <c r="CA20" s="38"/>
      <c r="CB20" s="38"/>
      <c r="CC20" s="230">
        <v>-0.61241199999999996</v>
      </c>
      <c r="CD20" s="113"/>
      <c r="CE20" s="16"/>
      <c r="CF20" s="16"/>
      <c r="CG20" s="16"/>
      <c r="CH20" s="28"/>
      <c r="CI20" s="29"/>
      <c r="CJ20" s="29"/>
      <c r="CK20" s="229">
        <v>-0.64191176470588251</v>
      </c>
      <c r="CL20" s="16"/>
      <c r="CM20" s="16"/>
      <c r="CN20" s="16"/>
      <c r="CO20" s="42"/>
      <c r="CP20" s="31"/>
      <c r="CQ20" s="31"/>
      <c r="CR20" s="31"/>
      <c r="CS20" s="31"/>
    </row>
    <row r="21" spans="1:97 1064:1064" ht="11.55" customHeight="1">
      <c r="A21" s="140">
        <v>18</v>
      </c>
      <c r="B21" s="33">
        <v>0</v>
      </c>
      <c r="C21" s="121">
        <v>45901</v>
      </c>
      <c r="D21" s="101" t="s">
        <v>97</v>
      </c>
      <c r="E21" s="15" t="s">
        <v>179</v>
      </c>
      <c r="F21" s="107" t="s">
        <v>180</v>
      </c>
      <c r="G21" s="107" t="s">
        <v>181</v>
      </c>
      <c r="H21" s="103" t="s">
        <v>182</v>
      </c>
      <c r="I21" s="81" t="s">
        <v>102</v>
      </c>
      <c r="J21" s="67">
        <v>45910</v>
      </c>
      <c r="K21" s="253" t="s">
        <v>183</v>
      </c>
      <c r="L21" s="70">
        <v>45910.958333333343</v>
      </c>
      <c r="M21" s="253" t="s">
        <v>183</v>
      </c>
      <c r="N21" s="152">
        <v>45911.114583333343</v>
      </c>
      <c r="O21" s="253" t="s">
        <v>131</v>
      </c>
      <c r="P21" s="44"/>
      <c r="Q21" s="44"/>
      <c r="R21" s="44"/>
      <c r="S21" s="44">
        <v>2000</v>
      </c>
      <c r="T21" s="44">
        <v>5500</v>
      </c>
      <c r="U21" s="44"/>
      <c r="V21" s="44"/>
      <c r="W21" s="44"/>
      <c r="X21" s="66"/>
      <c r="Y21" s="66"/>
      <c r="Z21" s="44"/>
      <c r="AA21" s="44"/>
      <c r="AB21" s="44"/>
      <c r="AC21" s="44"/>
      <c r="AD21" s="22"/>
      <c r="AE21" s="44"/>
      <c r="AF21" s="44"/>
      <c r="AG21" s="44"/>
      <c r="AH21" s="23"/>
      <c r="AI21" s="23"/>
      <c r="AJ21" s="44"/>
      <c r="AK21" s="23"/>
      <c r="AL21" s="44"/>
      <c r="AM21" s="44"/>
      <c r="AN21" s="23"/>
      <c r="AO21" s="23"/>
      <c r="AP21" s="23"/>
      <c r="AQ21" s="44"/>
      <c r="AR21" s="44"/>
      <c r="AS21" s="44"/>
      <c r="AT21" s="44"/>
      <c r="AU21" s="44"/>
      <c r="AV21" s="23"/>
      <c r="AW21" s="44"/>
      <c r="AX21" s="44"/>
      <c r="AY21" s="23"/>
      <c r="AZ21" s="21"/>
      <c r="BA21" s="44"/>
      <c r="BB21" s="44"/>
      <c r="BC21" s="23"/>
      <c r="BD21" s="23"/>
      <c r="BE21" s="23"/>
      <c r="BF21" s="40"/>
      <c r="BG21" s="44"/>
      <c r="BH21" s="40"/>
      <c r="BI21" s="21"/>
      <c r="BJ21" s="65">
        <v>7500</v>
      </c>
      <c r="BK21" s="47"/>
      <c r="BL21" s="64"/>
      <c r="BM21" s="47"/>
      <c r="BN21" s="64"/>
      <c r="BO21" s="71">
        <v>1</v>
      </c>
      <c r="BP21" s="94" t="s">
        <v>115</v>
      </c>
      <c r="BQ21" s="50"/>
      <c r="BR21" s="75">
        <v>15.196</v>
      </c>
      <c r="BS21" s="75">
        <v>11.15533333333333</v>
      </c>
      <c r="BT21" s="75">
        <v>4.9746666666666677</v>
      </c>
      <c r="BU21" s="75">
        <v>4.7484089965801477</v>
      </c>
      <c r="BV21" s="75">
        <v>2.1646666666666672</v>
      </c>
      <c r="BW21" s="75">
        <v>2.06627532433123</v>
      </c>
      <c r="BX21" s="76">
        <v>6097.9333333333334</v>
      </c>
      <c r="BY21" s="76">
        <v>5820.5983990249424</v>
      </c>
      <c r="BZ21" s="76">
        <v>5519.4898816009409</v>
      </c>
      <c r="CA21" s="38"/>
      <c r="CB21" s="38"/>
      <c r="CC21" s="230">
        <v>0.4912012</v>
      </c>
      <c r="CD21" s="113"/>
      <c r="CE21" s="16"/>
      <c r="CF21" s="16"/>
      <c r="CG21" s="16"/>
      <c r="CH21" s="28"/>
      <c r="CI21" s="29"/>
      <c r="CJ21" s="29"/>
      <c r="CK21" s="229">
        <v>0</v>
      </c>
      <c r="CL21" s="16"/>
      <c r="CM21" s="16"/>
      <c r="CN21" s="16"/>
      <c r="CO21" s="42"/>
      <c r="CP21" s="32"/>
      <c r="CQ21" s="32"/>
      <c r="CR21" s="32"/>
      <c r="CS21" s="32"/>
    </row>
    <row r="22" spans="1:97 1064:1064" ht="11.55" customHeight="1">
      <c r="A22" s="140">
        <v>19</v>
      </c>
      <c r="B22" s="33">
        <v>0</v>
      </c>
      <c r="C22" s="121">
        <v>45901</v>
      </c>
      <c r="D22" s="101" t="s">
        <v>97</v>
      </c>
      <c r="E22" s="15" t="s">
        <v>179</v>
      </c>
      <c r="F22" s="107" t="s">
        <v>184</v>
      </c>
      <c r="G22" s="107" t="s">
        <v>181</v>
      </c>
      <c r="H22" s="103" t="s">
        <v>185</v>
      </c>
      <c r="I22" s="81" t="s">
        <v>102</v>
      </c>
      <c r="J22" s="67">
        <v>45917</v>
      </c>
      <c r="K22" s="253" t="s">
        <v>132</v>
      </c>
      <c r="L22" s="67">
        <v>45921.166666249999</v>
      </c>
      <c r="M22" s="253" t="s">
        <v>160</v>
      </c>
      <c r="N22" s="152">
        <v>45921.322916249999</v>
      </c>
      <c r="O22" s="253" t="s">
        <v>160</v>
      </c>
      <c r="P22" s="66"/>
      <c r="Q22" s="44"/>
      <c r="R22" s="44"/>
      <c r="S22" s="44">
        <v>2000</v>
      </c>
      <c r="T22" s="44">
        <v>5500</v>
      </c>
      <c r="U22" s="66"/>
      <c r="V22" s="66"/>
      <c r="W22" s="44"/>
      <c r="X22" s="66"/>
      <c r="Y22" s="44"/>
      <c r="Z22" s="44"/>
      <c r="AA22" s="44"/>
      <c r="AB22" s="44"/>
      <c r="AC22" s="66"/>
      <c r="AD22" s="22"/>
      <c r="AE22" s="44"/>
      <c r="AF22" s="66"/>
      <c r="AG22" s="66"/>
      <c r="AH22" s="23"/>
      <c r="AI22" s="23"/>
      <c r="AJ22" s="44"/>
      <c r="AK22" s="23"/>
      <c r="AL22" s="44"/>
      <c r="AM22" s="44"/>
      <c r="AN22" s="23"/>
      <c r="AO22" s="23"/>
      <c r="AP22" s="23"/>
      <c r="AQ22" s="44"/>
      <c r="AR22" s="44"/>
      <c r="AS22" s="44"/>
      <c r="AT22" s="44"/>
      <c r="AU22" s="44"/>
      <c r="AV22" s="23"/>
      <c r="AW22" s="44"/>
      <c r="AX22" s="44"/>
      <c r="AY22" s="23"/>
      <c r="AZ22" s="21"/>
      <c r="BA22" s="44"/>
      <c r="BB22" s="44"/>
      <c r="BC22" s="23"/>
      <c r="BD22" s="23"/>
      <c r="BE22" s="23"/>
      <c r="BF22" s="40"/>
      <c r="BG22" s="44"/>
      <c r="BH22" s="40"/>
      <c r="BI22" s="21"/>
      <c r="BJ22" s="65">
        <v>7500</v>
      </c>
      <c r="BK22" s="47"/>
      <c r="BL22" s="64"/>
      <c r="BM22" s="47"/>
      <c r="BN22" s="87"/>
      <c r="BO22" s="71">
        <v>1</v>
      </c>
      <c r="BP22" s="94" t="s">
        <v>115</v>
      </c>
      <c r="BQ22" s="50"/>
      <c r="BR22" s="78">
        <v>15.196</v>
      </c>
      <c r="BS22" s="78">
        <v>11.15533333333333</v>
      </c>
      <c r="BT22" s="78">
        <v>4.9746666666666677</v>
      </c>
      <c r="BU22" s="78">
        <v>4.7484089965801477</v>
      </c>
      <c r="BV22" s="78">
        <v>2.1646666666666672</v>
      </c>
      <c r="BW22" s="78">
        <v>2.06627532433123</v>
      </c>
      <c r="BX22" s="79">
        <v>6097.9333333333334</v>
      </c>
      <c r="BY22" s="79">
        <v>5820.5983990249424</v>
      </c>
      <c r="BZ22" s="79">
        <v>5519.4898816009409</v>
      </c>
      <c r="CA22" s="38"/>
      <c r="CB22" s="38"/>
      <c r="CC22" s="195">
        <v>0.48921100000000001</v>
      </c>
      <c r="CD22" s="113"/>
      <c r="CE22" s="16"/>
      <c r="CF22" s="16"/>
      <c r="CG22" s="16"/>
      <c r="CH22" s="26"/>
      <c r="CI22" s="27"/>
      <c r="CJ22" s="27"/>
      <c r="CK22" s="229">
        <v>0</v>
      </c>
      <c r="CL22" s="16"/>
      <c r="CM22" s="16"/>
      <c r="CN22" s="16"/>
      <c r="CO22" s="42"/>
      <c r="CP22" s="31"/>
      <c r="CQ22" s="31"/>
      <c r="CR22" s="31"/>
      <c r="CS22" s="31"/>
    </row>
    <row r="23" spans="1:97 1064:1064" ht="11.55" customHeight="1">
      <c r="A23" s="140">
        <v>20</v>
      </c>
      <c r="B23" s="215">
        <v>0</v>
      </c>
      <c r="C23" s="192">
        <v>45901</v>
      </c>
      <c r="D23" s="191" t="s">
        <v>97</v>
      </c>
      <c r="E23" s="197" t="s">
        <v>179</v>
      </c>
      <c r="F23" s="193" t="s">
        <v>186</v>
      </c>
      <c r="G23" s="193" t="s">
        <v>187</v>
      </c>
      <c r="H23" s="194" t="s">
        <v>188</v>
      </c>
      <c r="I23" s="149" t="s">
        <v>102</v>
      </c>
      <c r="J23" s="216">
        <v>45925</v>
      </c>
      <c r="K23" s="254" t="s">
        <v>161</v>
      </c>
      <c r="L23" s="216">
        <v>45929.173608194447</v>
      </c>
      <c r="M23" s="255" t="s">
        <v>173</v>
      </c>
      <c r="N23" s="216">
        <v>45929.329858194447</v>
      </c>
      <c r="O23" s="255" t="s">
        <v>173</v>
      </c>
      <c r="P23" s="218"/>
      <c r="Q23" s="203"/>
      <c r="R23" s="203"/>
      <c r="S23" s="203">
        <v>2000</v>
      </c>
      <c r="T23" s="203">
        <v>5500</v>
      </c>
      <c r="U23" s="219"/>
      <c r="V23" s="219"/>
      <c r="W23" s="203"/>
      <c r="X23" s="219"/>
      <c r="Y23" s="219"/>
      <c r="Z23" s="203"/>
      <c r="AA23" s="203"/>
      <c r="AB23" s="203"/>
      <c r="AC23" s="218"/>
      <c r="AD23" s="202"/>
      <c r="AE23" s="203"/>
      <c r="AF23" s="218"/>
      <c r="AG23" s="218"/>
      <c r="AH23" s="202"/>
      <c r="AI23" s="202"/>
      <c r="AJ23" s="203"/>
      <c r="AK23" s="202"/>
      <c r="AL23" s="203"/>
      <c r="AM23" s="203"/>
      <c r="AN23" s="202"/>
      <c r="AO23" s="202"/>
      <c r="AP23" s="202"/>
      <c r="AQ23" s="203"/>
      <c r="AR23" s="203"/>
      <c r="AS23" s="203"/>
      <c r="AT23" s="203"/>
      <c r="AU23" s="203"/>
      <c r="AV23" s="202"/>
      <c r="AW23" s="203"/>
      <c r="AX23" s="203"/>
      <c r="AY23" s="202"/>
      <c r="AZ23" s="203"/>
      <c r="BA23" s="203"/>
      <c r="BB23" s="203"/>
      <c r="BC23" s="202"/>
      <c r="BD23" s="202"/>
      <c r="BE23" s="202"/>
      <c r="BF23" s="203"/>
      <c r="BG23" s="203"/>
      <c r="BH23" s="203"/>
      <c r="BI23" s="203">
        <f>SUM(TableOngoing[[#This Row],[EBH.HCV]:[PSB.LCV]])</f>
        <v>0</v>
      </c>
      <c r="BJ23" s="204">
        <v>7500</v>
      </c>
      <c r="BK23" s="220"/>
      <c r="BL23" s="255"/>
      <c r="BM23" s="220"/>
      <c r="BN23" s="255"/>
      <c r="BO23" s="205">
        <v>1</v>
      </c>
      <c r="BP23" s="150" t="s">
        <v>115</v>
      </c>
      <c r="BQ23" s="207"/>
      <c r="BR23" s="208">
        <v>15.196</v>
      </c>
      <c r="BS23" s="208">
        <v>11.15533333333333</v>
      </c>
      <c r="BT23" s="208">
        <v>4.9746666666666677</v>
      </c>
      <c r="BU23" s="208">
        <v>4.7484089965801477</v>
      </c>
      <c r="BV23" s="208">
        <v>2.1646666666666672</v>
      </c>
      <c r="BW23" s="208">
        <v>2.06627532433123</v>
      </c>
      <c r="BX23" s="209">
        <v>6097.9333333333334</v>
      </c>
      <c r="BY23" s="209">
        <v>5820.5983990249424</v>
      </c>
      <c r="BZ23" s="209">
        <v>5519.4898816009409</v>
      </c>
      <c r="CA23" s="221"/>
      <c r="CB23" s="221"/>
      <c r="CC23" s="230">
        <v>0.51202411999999997</v>
      </c>
      <c r="CD23" s="195"/>
      <c r="CE23" s="211"/>
      <c r="CF23" s="211"/>
      <c r="CG23" s="211"/>
      <c r="CH23" s="212"/>
      <c r="CI23" s="222"/>
      <c r="CJ23" s="212"/>
      <c r="CK23" s="229">
        <v>0</v>
      </c>
      <c r="CL23" s="211"/>
      <c r="CM23" s="211"/>
      <c r="CN23" s="211"/>
      <c r="CO23" s="214"/>
      <c r="CP23" s="211"/>
      <c r="CQ23" s="211"/>
      <c r="CR23" s="211"/>
      <c r="CS23" s="211"/>
    </row>
    <row r="24" spans="1:97 1064:1064" ht="11.55" customHeight="1">
      <c r="A24" s="132">
        <v>21</v>
      </c>
      <c r="B24" s="215">
        <v>0</v>
      </c>
      <c r="C24" s="192">
        <v>45901</v>
      </c>
      <c r="D24" s="191" t="s">
        <v>97</v>
      </c>
      <c r="E24" s="197" t="s">
        <v>189</v>
      </c>
      <c r="F24" s="193" t="s">
        <v>190</v>
      </c>
      <c r="G24" s="193" t="s">
        <v>191</v>
      </c>
      <c r="H24" s="194" t="s">
        <v>192</v>
      </c>
      <c r="I24" s="149" t="s">
        <v>102</v>
      </c>
      <c r="J24" s="216">
        <v>45928</v>
      </c>
      <c r="K24" s="254" t="s">
        <v>193</v>
      </c>
      <c r="L24" s="216">
        <v>45928</v>
      </c>
      <c r="M24" s="255" t="s">
        <v>193</v>
      </c>
      <c r="N24" s="216">
        <v>45929.666666666657</v>
      </c>
      <c r="O24" s="255" t="s">
        <v>173</v>
      </c>
      <c r="P24" s="218"/>
      <c r="Q24" s="203"/>
      <c r="R24" s="203"/>
      <c r="S24" s="203">
        <v>2000</v>
      </c>
      <c r="T24" s="203"/>
      <c r="U24" s="219"/>
      <c r="V24" s="219"/>
      <c r="W24" s="203"/>
      <c r="X24" s="219"/>
      <c r="Y24" s="219"/>
      <c r="Z24" s="203"/>
      <c r="AA24" s="203"/>
      <c r="AB24" s="203"/>
      <c r="AC24" s="218"/>
      <c r="AD24" s="202"/>
      <c r="AE24" s="203"/>
      <c r="AF24" s="218"/>
      <c r="AG24" s="218"/>
      <c r="AH24" s="202"/>
      <c r="AI24" s="202"/>
      <c r="AJ24" s="203"/>
      <c r="AK24" s="202"/>
      <c r="AL24" s="203"/>
      <c r="AM24" s="203"/>
      <c r="AN24" s="202"/>
      <c r="AO24" s="202"/>
      <c r="AP24" s="202"/>
      <c r="AQ24" s="203"/>
      <c r="AR24" s="203"/>
      <c r="AS24" s="203"/>
      <c r="AT24" s="203"/>
      <c r="AU24" s="203"/>
      <c r="AV24" s="202"/>
      <c r="AW24" s="203"/>
      <c r="AX24" s="203"/>
      <c r="AY24" s="202"/>
      <c r="AZ24" s="203"/>
      <c r="BA24" s="203"/>
      <c r="BB24" s="203"/>
      <c r="BC24" s="202"/>
      <c r="BD24" s="202"/>
      <c r="BE24" s="202"/>
      <c r="BF24" s="203"/>
      <c r="BG24" s="203"/>
      <c r="BH24" s="203"/>
      <c r="BI24" s="203">
        <f>SUM(TableOngoing[[#This Row],[EBH.HCV]:[PSB.LCV]])</f>
        <v>0</v>
      </c>
      <c r="BJ24" s="204">
        <v>2000</v>
      </c>
      <c r="BK24" s="220"/>
      <c r="BL24" s="255"/>
      <c r="BM24" s="220"/>
      <c r="BN24" s="255"/>
      <c r="BO24" s="205">
        <v>1</v>
      </c>
      <c r="BP24" s="150" t="s">
        <v>115</v>
      </c>
      <c r="BQ24" s="207"/>
      <c r="BR24" s="208">
        <v>15.13</v>
      </c>
      <c r="BS24" s="208">
        <v>11.06</v>
      </c>
      <c r="BT24" s="208">
        <v>5.07</v>
      </c>
      <c r="BU24" s="208">
        <v>4.8379907803013271</v>
      </c>
      <c r="BV24" s="208">
        <v>1.6</v>
      </c>
      <c r="BW24" s="208">
        <v>1.5267821002923321</v>
      </c>
      <c r="BX24" s="209">
        <v>6106</v>
      </c>
      <c r="BY24" s="209">
        <v>5826.5821902406124</v>
      </c>
      <c r="BZ24" s="209">
        <v>5526.6485905606123</v>
      </c>
      <c r="CA24" s="221"/>
      <c r="CB24" s="221"/>
      <c r="CC24" s="195">
        <v>0.39012412000000002</v>
      </c>
      <c r="CD24" s="195"/>
      <c r="CE24" s="211"/>
      <c r="CF24" s="211"/>
      <c r="CG24" s="211"/>
      <c r="CH24" s="212"/>
      <c r="CI24" s="222"/>
      <c r="CJ24" s="212"/>
      <c r="CK24" s="229">
        <v>0</v>
      </c>
      <c r="CL24" s="211"/>
      <c r="CM24" s="211"/>
      <c r="CN24" s="211"/>
      <c r="CO24" s="214"/>
      <c r="CP24" s="211"/>
      <c r="CQ24" s="211"/>
      <c r="CR24" s="211"/>
      <c r="CS24" s="211"/>
    </row>
    <row r="25" spans="1:97 1064:1064" ht="11.55" customHeight="1">
      <c r="A25" s="140">
        <v>22</v>
      </c>
      <c r="B25" s="215">
        <v>1</v>
      </c>
      <c r="C25" s="192">
        <v>45870</v>
      </c>
      <c r="D25" s="191" t="s">
        <v>148</v>
      </c>
      <c r="E25" s="197" t="s">
        <v>98</v>
      </c>
      <c r="F25" s="193" t="s">
        <v>194</v>
      </c>
      <c r="G25" s="193" t="s">
        <v>195</v>
      </c>
      <c r="H25" s="194" t="s">
        <v>196</v>
      </c>
      <c r="I25" s="149" t="s">
        <v>197</v>
      </c>
      <c r="J25" s="216">
        <v>45899.375</v>
      </c>
      <c r="K25" s="254" t="s">
        <v>103</v>
      </c>
      <c r="L25" s="216">
        <v>45900.436111111107</v>
      </c>
      <c r="M25" s="255" t="s">
        <v>104</v>
      </c>
      <c r="N25" s="216">
        <v>45902.055555555547</v>
      </c>
      <c r="O25" s="255" t="s">
        <v>198</v>
      </c>
      <c r="P25" s="218"/>
      <c r="Q25" s="203"/>
      <c r="R25" s="203"/>
      <c r="S25" s="203"/>
      <c r="T25" s="203"/>
      <c r="U25" s="219"/>
      <c r="V25" s="219"/>
      <c r="W25" s="203"/>
      <c r="X25" s="219"/>
      <c r="Y25" s="219"/>
      <c r="Z25" s="203"/>
      <c r="AA25" s="203"/>
      <c r="AB25" s="203"/>
      <c r="AC25" s="218"/>
      <c r="AD25" s="202"/>
      <c r="AE25" s="203"/>
      <c r="AF25" s="218"/>
      <c r="AG25" s="218"/>
      <c r="AH25" s="202"/>
      <c r="AI25" s="202"/>
      <c r="AJ25" s="203"/>
      <c r="AK25" s="202"/>
      <c r="AL25" s="203"/>
      <c r="AM25" s="203"/>
      <c r="AN25" s="202"/>
      <c r="AO25" s="202"/>
      <c r="AP25" s="202"/>
      <c r="AQ25" s="203"/>
      <c r="AR25" s="203"/>
      <c r="AS25" s="203"/>
      <c r="AT25" s="203"/>
      <c r="AU25" s="203"/>
      <c r="AV25" s="202"/>
      <c r="AW25" s="203"/>
      <c r="AX25" s="203"/>
      <c r="AY25" s="202"/>
      <c r="AZ25" s="203"/>
      <c r="BA25" s="203"/>
      <c r="BB25" s="203"/>
      <c r="BC25" s="202"/>
      <c r="BD25" s="202"/>
      <c r="BE25" s="202"/>
      <c r="BF25" s="203"/>
      <c r="BG25" s="203"/>
      <c r="BH25" s="203"/>
      <c r="BI25" s="203">
        <f>SUM(TableOngoing[[#This Row],[EBH.HCV]:[PSB.LCV]])</f>
        <v>0</v>
      </c>
      <c r="BJ25" s="204">
        <v>54999.999999999993</v>
      </c>
      <c r="BK25" s="220">
        <v>45897</v>
      </c>
      <c r="BL25" s="255" t="s">
        <v>106</v>
      </c>
      <c r="BM25" s="220">
        <v>45912</v>
      </c>
      <c r="BN25" s="255" t="s">
        <v>126</v>
      </c>
      <c r="BO25" s="205">
        <v>0.86363254545454549</v>
      </c>
      <c r="BP25" s="150" t="s">
        <v>108</v>
      </c>
      <c r="BQ25" s="207"/>
      <c r="BR25" s="208">
        <v>12.666262837700691</v>
      </c>
      <c r="BS25" s="208">
        <v>7.6769016956347276</v>
      </c>
      <c r="BT25" s="208">
        <v>5.3712740256123546</v>
      </c>
      <c r="BU25" s="208">
        <v>5.0809975249426271</v>
      </c>
      <c r="BV25" s="208">
        <v>1.2387455690533811</v>
      </c>
      <c r="BW25" s="208">
        <v>1.1718007944449109</v>
      </c>
      <c r="BX25" s="209">
        <v>6728.1561311548039</v>
      </c>
      <c r="BY25" s="209">
        <v>6364.5504747689274</v>
      </c>
      <c r="BZ25" s="209">
        <v>6073.9815148777398</v>
      </c>
      <c r="CA25" s="221"/>
      <c r="CB25" s="221"/>
      <c r="CC25" s="195">
        <v>1.10227077759197</v>
      </c>
      <c r="CD25" s="195"/>
      <c r="CE25" s="211"/>
      <c r="CF25" s="211"/>
      <c r="CG25" s="211"/>
      <c r="CH25" s="212"/>
      <c r="CI25" s="222"/>
      <c r="CJ25" s="212"/>
      <c r="CK25" s="229">
        <v>2.792929293045397E-3</v>
      </c>
      <c r="CL25" s="211"/>
      <c r="CM25" s="211"/>
      <c r="CN25" s="211"/>
      <c r="CO25" s="214"/>
      <c r="CP25" s="211"/>
      <c r="CQ25" s="211"/>
      <c r="CR25" s="211"/>
      <c r="CS25" s="211"/>
    </row>
    <row r="26" spans="1:97 1064:1064" ht="11.55" customHeight="1">
      <c r="A26" s="140">
        <v>23</v>
      </c>
      <c r="B26" s="215">
        <v>2</v>
      </c>
      <c r="C26" s="192">
        <v>45870</v>
      </c>
      <c r="D26" s="191" t="s">
        <v>155</v>
      </c>
      <c r="E26" s="197" t="s">
        <v>98</v>
      </c>
      <c r="F26" s="193" t="s">
        <v>199</v>
      </c>
      <c r="G26" s="193" t="s">
        <v>128</v>
      </c>
      <c r="H26" s="194" t="s">
        <v>200</v>
      </c>
      <c r="I26" s="149" t="s">
        <v>197</v>
      </c>
      <c r="J26" s="216">
        <v>45895.45</v>
      </c>
      <c r="K26" s="254" t="s">
        <v>120</v>
      </c>
      <c r="L26" s="216">
        <v>45899.086805555547</v>
      </c>
      <c r="M26" s="255" t="s">
        <v>103</v>
      </c>
      <c r="N26" s="216">
        <v>45903.601091273151</v>
      </c>
      <c r="O26" s="255" t="s">
        <v>125</v>
      </c>
      <c r="P26" s="218"/>
      <c r="Q26" s="203"/>
      <c r="R26" s="203"/>
      <c r="S26" s="203"/>
      <c r="T26" s="203"/>
      <c r="U26" s="219"/>
      <c r="V26" s="219"/>
      <c r="W26" s="203"/>
      <c r="X26" s="219"/>
      <c r="Y26" s="219"/>
      <c r="Z26" s="203"/>
      <c r="AA26" s="203"/>
      <c r="AB26" s="203"/>
      <c r="AC26" s="218"/>
      <c r="AD26" s="202"/>
      <c r="AE26" s="203"/>
      <c r="AF26" s="218"/>
      <c r="AG26" s="218"/>
      <c r="AH26" s="202"/>
      <c r="AI26" s="202"/>
      <c r="AJ26" s="203"/>
      <c r="AK26" s="202"/>
      <c r="AL26" s="203"/>
      <c r="AM26" s="203"/>
      <c r="AN26" s="202"/>
      <c r="AO26" s="202"/>
      <c r="AP26" s="202"/>
      <c r="AQ26" s="203"/>
      <c r="AR26" s="203"/>
      <c r="AS26" s="203"/>
      <c r="AT26" s="203"/>
      <c r="AU26" s="203"/>
      <c r="AV26" s="202"/>
      <c r="AW26" s="203"/>
      <c r="AX26" s="203"/>
      <c r="AY26" s="202"/>
      <c r="AZ26" s="203"/>
      <c r="BA26" s="203"/>
      <c r="BB26" s="203"/>
      <c r="BC26" s="202"/>
      <c r="BD26" s="202"/>
      <c r="BE26" s="202"/>
      <c r="BF26" s="203"/>
      <c r="BG26" s="203"/>
      <c r="BH26" s="203"/>
      <c r="BI26" s="203">
        <f>SUM(TableOngoing[[#This Row],[EBH.HCV]:[PSB.LCV]])</f>
        <v>0</v>
      </c>
      <c r="BJ26" s="204">
        <v>63200</v>
      </c>
      <c r="BK26" s="220">
        <v>45896</v>
      </c>
      <c r="BL26" s="255" t="s">
        <v>201</v>
      </c>
      <c r="BM26" s="220">
        <v>45904</v>
      </c>
      <c r="BN26" s="255" t="s">
        <v>112</v>
      </c>
      <c r="BO26" s="205">
        <v>0.20272151898734181</v>
      </c>
      <c r="BP26" s="150" t="s">
        <v>202</v>
      </c>
      <c r="BQ26" s="207"/>
      <c r="BR26" s="208">
        <v>28.33408229366993</v>
      </c>
      <c r="BS26" s="208">
        <v>15.949878525344021</v>
      </c>
      <c r="BT26" s="208">
        <v>6.0118632205615494</v>
      </c>
      <c r="BU26" s="208">
        <v>5.1260567774002714</v>
      </c>
      <c r="BV26" s="208">
        <v>1.2293045964454961</v>
      </c>
      <c r="BW26" s="208">
        <v>1.0481750710073769</v>
      </c>
      <c r="BX26" s="209">
        <v>5619.2965659179144</v>
      </c>
      <c r="BY26" s="209">
        <v>4791.3321027378643</v>
      </c>
      <c r="BZ26" s="209">
        <v>4449.5453544015036</v>
      </c>
      <c r="CA26" s="221"/>
      <c r="CB26" s="221"/>
      <c r="CC26" s="230">
        <v>0.11012111199999999</v>
      </c>
      <c r="CD26" s="195"/>
      <c r="CE26" s="211"/>
      <c r="CF26" s="211"/>
      <c r="CG26" s="211"/>
      <c r="CH26" s="212"/>
      <c r="CI26" s="222"/>
      <c r="CJ26" s="212"/>
      <c r="CK26" s="229">
        <v>-0.89339398734023934</v>
      </c>
      <c r="CL26" s="211"/>
      <c r="CM26" s="211"/>
      <c r="CN26" s="211"/>
      <c r="CO26" s="214"/>
      <c r="CP26" s="211"/>
      <c r="CQ26" s="211"/>
      <c r="CR26" s="211"/>
      <c r="CS26" s="211"/>
    </row>
    <row r="27" spans="1:97 1064:1064" ht="11.55" customHeight="1">
      <c r="A27" s="140">
        <v>24</v>
      </c>
      <c r="B27" s="215">
        <v>3</v>
      </c>
      <c r="C27" s="192">
        <v>45870</v>
      </c>
      <c r="D27" s="191" t="s">
        <v>133</v>
      </c>
      <c r="E27" s="197" t="s">
        <v>98</v>
      </c>
      <c r="F27" s="193" t="s">
        <v>203</v>
      </c>
      <c r="G27" s="193" t="s">
        <v>204</v>
      </c>
      <c r="H27" s="194" t="s">
        <v>205</v>
      </c>
      <c r="I27" s="149" t="s">
        <v>197</v>
      </c>
      <c r="J27" s="216">
        <v>45896.604166666657</v>
      </c>
      <c r="K27" s="254" t="s">
        <v>201</v>
      </c>
      <c r="L27" s="216">
        <v>45901.520833333343</v>
      </c>
      <c r="M27" s="255" t="s">
        <v>105</v>
      </c>
      <c r="N27" s="216">
        <v>45904.496833333331</v>
      </c>
      <c r="O27" s="255" t="s">
        <v>112</v>
      </c>
      <c r="P27" s="218"/>
      <c r="Q27" s="203"/>
      <c r="R27" s="203"/>
      <c r="S27" s="203"/>
      <c r="T27" s="203"/>
      <c r="U27" s="219"/>
      <c r="V27" s="219"/>
      <c r="W27" s="203"/>
      <c r="X27" s="219"/>
      <c r="Y27" s="219"/>
      <c r="Z27" s="203"/>
      <c r="AA27" s="203"/>
      <c r="AB27" s="203"/>
      <c r="AC27" s="218"/>
      <c r="AD27" s="202"/>
      <c r="AE27" s="203"/>
      <c r="AF27" s="218"/>
      <c r="AG27" s="218"/>
      <c r="AH27" s="202"/>
      <c r="AI27" s="202"/>
      <c r="AJ27" s="203"/>
      <c r="AK27" s="202"/>
      <c r="AL27" s="203"/>
      <c r="AM27" s="203"/>
      <c r="AN27" s="202"/>
      <c r="AO27" s="202"/>
      <c r="AP27" s="202"/>
      <c r="AQ27" s="203"/>
      <c r="AR27" s="203"/>
      <c r="AS27" s="203"/>
      <c r="AT27" s="203"/>
      <c r="AU27" s="203"/>
      <c r="AV27" s="202"/>
      <c r="AW27" s="203"/>
      <c r="AX27" s="203"/>
      <c r="AY27" s="202"/>
      <c r="AZ27" s="203"/>
      <c r="BA27" s="203"/>
      <c r="BB27" s="203"/>
      <c r="BC27" s="202"/>
      <c r="BD27" s="202"/>
      <c r="BE27" s="202"/>
      <c r="BF27" s="203"/>
      <c r="BG27" s="203"/>
      <c r="BH27" s="203"/>
      <c r="BI27" s="203">
        <f>SUM(TableOngoing[[#This Row],[EBH.HCV]:[PSB.LCV]])</f>
        <v>0</v>
      </c>
      <c r="BJ27" s="204">
        <v>74400.000000000015</v>
      </c>
      <c r="BK27" s="220">
        <v>45891</v>
      </c>
      <c r="BL27" s="255" t="s">
        <v>206</v>
      </c>
      <c r="BM27" s="220">
        <v>45917</v>
      </c>
      <c r="BN27" s="255" t="s">
        <v>132</v>
      </c>
      <c r="BO27" s="205">
        <v>0.7983017473118279</v>
      </c>
      <c r="BP27" s="150" t="s">
        <v>202</v>
      </c>
      <c r="BQ27" s="207"/>
      <c r="BR27" s="208">
        <v>17.04179814784947</v>
      </c>
      <c r="BS27" s="208">
        <v>10.8016090281935</v>
      </c>
      <c r="BT27" s="208">
        <v>5.2420177929086256</v>
      </c>
      <c r="BU27" s="208">
        <v>4.8752938863452142</v>
      </c>
      <c r="BV27" s="208">
        <v>1.216106244506308</v>
      </c>
      <c r="BW27" s="208">
        <v>1.1310292282884651</v>
      </c>
      <c r="BX27" s="209">
        <v>6374.5056565913192</v>
      </c>
      <c r="BY27" s="209">
        <v>5928.5545535717656</v>
      </c>
      <c r="BZ27" s="209">
        <v>5623.6820562624089</v>
      </c>
      <c r="CA27" s="221"/>
      <c r="CB27" s="221"/>
      <c r="CC27" s="195">
        <v>0.43333947607023399</v>
      </c>
      <c r="CD27" s="195"/>
      <c r="CE27" s="211"/>
      <c r="CF27" s="211"/>
      <c r="CG27" s="211"/>
      <c r="CH27" s="212"/>
      <c r="CI27" s="222"/>
      <c r="CJ27" s="212"/>
      <c r="CK27" s="229">
        <v>-1.0388664874586111</v>
      </c>
      <c r="CL27" s="211"/>
      <c r="CM27" s="211"/>
      <c r="CN27" s="211"/>
      <c r="CO27" s="214"/>
      <c r="CP27" s="211"/>
      <c r="CQ27" s="211"/>
      <c r="CR27" s="211"/>
      <c r="CS27" s="211"/>
    </row>
    <row r="28" spans="1:97 1064:1064" ht="11.55" customHeight="1">
      <c r="A28" s="140">
        <v>25</v>
      </c>
      <c r="B28" s="215">
        <v>4</v>
      </c>
      <c r="C28" s="192">
        <v>45870</v>
      </c>
      <c r="D28" s="191" t="s">
        <v>133</v>
      </c>
      <c r="E28" s="197" t="s">
        <v>98</v>
      </c>
      <c r="F28" s="193" t="s">
        <v>207</v>
      </c>
      <c r="G28" s="193" t="s">
        <v>208</v>
      </c>
      <c r="H28" s="194" t="s">
        <v>209</v>
      </c>
      <c r="I28" s="149" t="s">
        <v>197</v>
      </c>
      <c r="J28" s="216">
        <v>45899.091666666667</v>
      </c>
      <c r="K28" s="254" t="s">
        <v>103</v>
      </c>
      <c r="L28" s="216">
        <v>45902.145833333343</v>
      </c>
      <c r="M28" s="255" t="s">
        <v>198</v>
      </c>
      <c r="N28" s="216">
        <v>45905.345833333333</v>
      </c>
      <c r="O28" s="255" t="s">
        <v>113</v>
      </c>
      <c r="P28" s="218"/>
      <c r="Q28" s="203"/>
      <c r="R28" s="203"/>
      <c r="S28" s="203"/>
      <c r="T28" s="203"/>
      <c r="U28" s="219"/>
      <c r="V28" s="219"/>
      <c r="W28" s="203"/>
      <c r="X28" s="219"/>
      <c r="Y28" s="219"/>
      <c r="Z28" s="203"/>
      <c r="AA28" s="203"/>
      <c r="AB28" s="203"/>
      <c r="AC28" s="218"/>
      <c r="AD28" s="202"/>
      <c r="AE28" s="203"/>
      <c r="AF28" s="218"/>
      <c r="AG28" s="218"/>
      <c r="AH28" s="202"/>
      <c r="AI28" s="202"/>
      <c r="AJ28" s="203"/>
      <c r="AK28" s="202"/>
      <c r="AL28" s="203"/>
      <c r="AM28" s="203"/>
      <c r="AN28" s="202"/>
      <c r="AO28" s="202"/>
      <c r="AP28" s="202"/>
      <c r="AQ28" s="203"/>
      <c r="AR28" s="203"/>
      <c r="AS28" s="203"/>
      <c r="AT28" s="203"/>
      <c r="AU28" s="203"/>
      <c r="AV28" s="202"/>
      <c r="AW28" s="203"/>
      <c r="AX28" s="203"/>
      <c r="AY28" s="202"/>
      <c r="AZ28" s="203"/>
      <c r="BA28" s="203"/>
      <c r="BB28" s="203"/>
      <c r="BC28" s="202"/>
      <c r="BD28" s="202"/>
      <c r="BE28" s="202"/>
      <c r="BF28" s="203"/>
      <c r="BG28" s="203"/>
      <c r="BH28" s="203"/>
      <c r="BI28" s="203">
        <f>SUM(TableOngoing[[#This Row],[EBH.HCV]:[PSB.LCV]])</f>
        <v>0</v>
      </c>
      <c r="BJ28" s="204">
        <v>80000</v>
      </c>
      <c r="BK28" s="220">
        <v>45894</v>
      </c>
      <c r="BL28" s="255" t="s">
        <v>210</v>
      </c>
      <c r="BM28" s="220">
        <v>45915</v>
      </c>
      <c r="BN28" s="255" t="s">
        <v>137</v>
      </c>
      <c r="BO28" s="205">
        <v>0.90625</v>
      </c>
      <c r="BP28" s="150" t="s">
        <v>202</v>
      </c>
      <c r="BQ28" s="207"/>
      <c r="BR28" s="208">
        <v>16.587897400625</v>
      </c>
      <c r="BS28" s="208">
        <v>10.517742264624999</v>
      </c>
      <c r="BT28" s="208">
        <v>4.9625495751250002</v>
      </c>
      <c r="BU28" s="208">
        <v>4.6259080268061883</v>
      </c>
      <c r="BV28" s="208">
        <v>0.77255305100000016</v>
      </c>
      <c r="BW28" s="208">
        <v>0.72014582537737026</v>
      </c>
      <c r="BX28" s="209">
        <v>6466.3614924250014</v>
      </c>
      <c r="BY28" s="209">
        <v>6027.7067421106403</v>
      </c>
      <c r="BZ28" s="209">
        <v>5724.3180372659453</v>
      </c>
      <c r="CA28" s="221"/>
      <c r="CB28" s="221"/>
      <c r="CC28" s="230">
        <v>0.44476982672291299</v>
      </c>
      <c r="CD28" s="195"/>
      <c r="CE28" s="211"/>
      <c r="CF28" s="211"/>
      <c r="CG28" s="211"/>
      <c r="CH28" s="212"/>
      <c r="CI28" s="222"/>
      <c r="CJ28" s="212"/>
      <c r="CK28" s="229">
        <v>-0.79817708333302995</v>
      </c>
      <c r="CL28" s="211"/>
      <c r="CM28" s="211"/>
      <c r="CN28" s="211"/>
      <c r="CO28" s="214"/>
      <c r="CP28" s="211"/>
      <c r="CQ28" s="211"/>
      <c r="CR28" s="211"/>
      <c r="CS28" s="211"/>
    </row>
    <row r="29" spans="1:97 1064:1064" ht="11.55" customHeight="1">
      <c r="A29" s="140">
        <v>26</v>
      </c>
      <c r="B29" s="215">
        <v>5</v>
      </c>
      <c r="C29" s="192">
        <v>45901</v>
      </c>
      <c r="D29" s="191" t="s">
        <v>148</v>
      </c>
      <c r="E29" s="197" t="s">
        <v>98</v>
      </c>
      <c r="F29" s="193" t="s">
        <v>211</v>
      </c>
      <c r="G29" s="193" t="s">
        <v>212</v>
      </c>
      <c r="H29" s="194" t="s">
        <v>213</v>
      </c>
      <c r="I29" s="149" t="s">
        <v>197</v>
      </c>
      <c r="J29" s="216">
        <v>45902.333333333343</v>
      </c>
      <c r="K29" s="254" t="s">
        <v>198</v>
      </c>
      <c r="L29" s="216">
        <v>45902.659722222219</v>
      </c>
      <c r="M29" s="255" t="s">
        <v>198</v>
      </c>
      <c r="N29" s="216">
        <v>45905.13520222222</v>
      </c>
      <c r="O29" s="255" t="s">
        <v>113</v>
      </c>
      <c r="P29" s="218"/>
      <c r="Q29" s="203"/>
      <c r="R29" s="203"/>
      <c r="S29" s="203"/>
      <c r="T29" s="203"/>
      <c r="U29" s="219"/>
      <c r="V29" s="219"/>
      <c r="W29" s="203"/>
      <c r="X29" s="219"/>
      <c r="Y29" s="219"/>
      <c r="Z29" s="203"/>
      <c r="AA29" s="203"/>
      <c r="AB29" s="203"/>
      <c r="AC29" s="218"/>
      <c r="AD29" s="202"/>
      <c r="AE29" s="203"/>
      <c r="AF29" s="218"/>
      <c r="AG29" s="218"/>
      <c r="AH29" s="202"/>
      <c r="AI29" s="202"/>
      <c r="AJ29" s="203"/>
      <c r="AK29" s="202"/>
      <c r="AL29" s="203"/>
      <c r="AM29" s="203"/>
      <c r="AN29" s="202"/>
      <c r="AO29" s="202"/>
      <c r="AP29" s="202"/>
      <c r="AQ29" s="203"/>
      <c r="AR29" s="203"/>
      <c r="AS29" s="203"/>
      <c r="AT29" s="203"/>
      <c r="AU29" s="203"/>
      <c r="AV29" s="202"/>
      <c r="AW29" s="203"/>
      <c r="AX29" s="203"/>
      <c r="AY29" s="202"/>
      <c r="AZ29" s="203"/>
      <c r="BA29" s="203"/>
      <c r="BB29" s="203"/>
      <c r="BC29" s="202"/>
      <c r="BD29" s="202"/>
      <c r="BE29" s="202"/>
      <c r="BF29" s="203"/>
      <c r="BG29" s="203"/>
      <c r="BH29" s="203"/>
      <c r="BI29" s="203">
        <f>SUM(TableOngoing[[#This Row],[EBH.HCV]:[PSB.LCV]])</f>
        <v>0</v>
      </c>
      <c r="BJ29" s="204">
        <v>61887.000000000007</v>
      </c>
      <c r="BK29" s="220">
        <v>45899</v>
      </c>
      <c r="BL29" s="255" t="s">
        <v>103</v>
      </c>
      <c r="BM29" s="220">
        <v>45914</v>
      </c>
      <c r="BN29" s="255" t="s">
        <v>140</v>
      </c>
      <c r="BO29" s="205">
        <v>0.75498020585906578</v>
      </c>
      <c r="BP29" s="150" t="s">
        <v>214</v>
      </c>
      <c r="BQ29" s="207"/>
      <c r="BR29" s="208">
        <v>14.252651949520899</v>
      </c>
      <c r="BS29" s="208">
        <v>8.5345654612438793</v>
      </c>
      <c r="BT29" s="208">
        <v>5.4910325076348823</v>
      </c>
      <c r="BU29" s="208">
        <v>5.1477531152946776</v>
      </c>
      <c r="BV29" s="208">
        <v>0.62611670248172313</v>
      </c>
      <c r="BW29" s="208">
        <v>0.58697416219205467</v>
      </c>
      <c r="BX29" s="209">
        <v>6719.3605878455892</v>
      </c>
      <c r="BY29" s="209">
        <v>6299.2905889331514</v>
      </c>
      <c r="BZ29" s="209">
        <v>6003.5357547632057</v>
      </c>
      <c r="CA29" s="221"/>
      <c r="CB29" s="221"/>
      <c r="CC29" s="230">
        <v>0.59699604743083001</v>
      </c>
      <c r="CD29" s="195"/>
      <c r="CE29" s="211"/>
      <c r="CF29" s="211"/>
      <c r="CG29" s="211"/>
      <c r="CH29" s="212"/>
      <c r="CI29" s="222"/>
      <c r="CJ29" s="212"/>
      <c r="CK29" s="229">
        <v>2.5247628743390281E-2</v>
      </c>
      <c r="CL29" s="211"/>
      <c r="CM29" s="211"/>
      <c r="CN29" s="211"/>
      <c r="CO29" s="214"/>
      <c r="CP29" s="211"/>
      <c r="CQ29" s="211"/>
      <c r="CR29" s="211"/>
      <c r="CS29" s="211"/>
    </row>
    <row r="30" spans="1:97 1064:1064" ht="11.55" customHeight="1">
      <c r="A30" s="132">
        <v>27</v>
      </c>
      <c r="B30" s="215">
        <v>6</v>
      </c>
      <c r="C30" s="192">
        <v>45901</v>
      </c>
      <c r="D30" s="191" t="s">
        <v>148</v>
      </c>
      <c r="E30" s="197" t="s">
        <v>98</v>
      </c>
      <c r="F30" s="193" t="s">
        <v>215</v>
      </c>
      <c r="G30" s="193" t="s">
        <v>216</v>
      </c>
      <c r="H30" s="194" t="s">
        <v>217</v>
      </c>
      <c r="I30" s="149" t="s">
        <v>197</v>
      </c>
      <c r="J30" s="216">
        <v>45905</v>
      </c>
      <c r="K30" s="254" t="s">
        <v>113</v>
      </c>
      <c r="L30" s="216">
        <v>45905.833333333343</v>
      </c>
      <c r="M30" s="255" t="s">
        <v>113</v>
      </c>
      <c r="N30" s="216">
        <v>45907.718433333343</v>
      </c>
      <c r="O30" s="255" t="s">
        <v>119</v>
      </c>
      <c r="P30" s="218"/>
      <c r="Q30" s="203"/>
      <c r="R30" s="203"/>
      <c r="S30" s="203"/>
      <c r="T30" s="203"/>
      <c r="U30" s="219"/>
      <c r="V30" s="219"/>
      <c r="W30" s="203"/>
      <c r="X30" s="219"/>
      <c r="Y30" s="219"/>
      <c r="Z30" s="203"/>
      <c r="AA30" s="203"/>
      <c r="AB30" s="203"/>
      <c r="AC30" s="218"/>
      <c r="AD30" s="202"/>
      <c r="AE30" s="203"/>
      <c r="AF30" s="218"/>
      <c r="AG30" s="218"/>
      <c r="AH30" s="202"/>
      <c r="AI30" s="202"/>
      <c r="AJ30" s="203"/>
      <c r="AK30" s="202"/>
      <c r="AL30" s="203"/>
      <c r="AM30" s="203"/>
      <c r="AN30" s="202"/>
      <c r="AO30" s="202"/>
      <c r="AP30" s="202"/>
      <c r="AQ30" s="203"/>
      <c r="AR30" s="203"/>
      <c r="AS30" s="203"/>
      <c r="AT30" s="203"/>
      <c r="AU30" s="203"/>
      <c r="AV30" s="202"/>
      <c r="AW30" s="203"/>
      <c r="AX30" s="203"/>
      <c r="AY30" s="202"/>
      <c r="AZ30" s="203"/>
      <c r="BA30" s="203"/>
      <c r="BB30" s="203"/>
      <c r="BC30" s="202"/>
      <c r="BD30" s="202"/>
      <c r="BE30" s="202"/>
      <c r="BF30" s="203"/>
      <c r="BG30" s="203"/>
      <c r="BH30" s="203"/>
      <c r="BI30" s="203">
        <f>SUM(TableOngoing[[#This Row],[EBH.HCV]:[PSB.LCV]])</f>
        <v>0</v>
      </c>
      <c r="BJ30" s="204">
        <v>18851</v>
      </c>
      <c r="BK30" s="220">
        <v>45905</v>
      </c>
      <c r="BL30" s="255" t="s">
        <v>113</v>
      </c>
      <c r="BM30" s="220">
        <v>45914</v>
      </c>
      <c r="BN30" s="255" t="s">
        <v>140</v>
      </c>
      <c r="BO30" s="205">
        <v>1</v>
      </c>
      <c r="BP30" s="150" t="s">
        <v>214</v>
      </c>
      <c r="BQ30" s="207"/>
      <c r="BR30" s="208">
        <v>13.70178592117129</v>
      </c>
      <c r="BS30" s="208">
        <v>7.568427372553181</v>
      </c>
      <c r="BT30" s="208">
        <v>5.9880084133467726</v>
      </c>
      <c r="BU30" s="208">
        <v>5.5906701278755593</v>
      </c>
      <c r="BV30" s="208">
        <v>0.73765595989602672</v>
      </c>
      <c r="BW30" s="208">
        <v>0.68870830749804135</v>
      </c>
      <c r="BX30" s="209">
        <v>6737.0790446130204</v>
      </c>
      <c r="BY30" s="209">
        <v>6290.0356786244229</v>
      </c>
      <c r="BZ30" s="209">
        <v>5996.0816144838327</v>
      </c>
      <c r="CA30" s="221"/>
      <c r="CB30" s="221"/>
      <c r="CC30" s="230">
        <v>1.19182371428571</v>
      </c>
      <c r="CD30" s="195"/>
      <c r="CE30" s="211"/>
      <c r="CF30" s="211"/>
      <c r="CG30" s="211"/>
      <c r="CH30" s="212"/>
      <c r="CI30" s="222"/>
      <c r="CJ30" s="212"/>
      <c r="CK30" s="229">
        <v>-0.31828550209722828</v>
      </c>
      <c r="CL30" s="211"/>
      <c r="CM30" s="211"/>
      <c r="CN30" s="211"/>
      <c r="CO30" s="214"/>
      <c r="CP30" s="211"/>
      <c r="CQ30" s="211"/>
      <c r="CR30" s="211"/>
      <c r="CS30" s="211"/>
    </row>
    <row r="31" spans="1:97 1064:1064" ht="11.55" customHeight="1">
      <c r="A31" s="140">
        <v>28</v>
      </c>
      <c r="B31" s="215">
        <v>7</v>
      </c>
      <c r="C31" s="192">
        <v>45901</v>
      </c>
      <c r="D31" s="191" t="s">
        <v>133</v>
      </c>
      <c r="E31" s="197" t="s">
        <v>98</v>
      </c>
      <c r="F31" s="193" t="s">
        <v>218</v>
      </c>
      <c r="G31" s="193" t="s">
        <v>219</v>
      </c>
      <c r="H31" s="194" t="s">
        <v>220</v>
      </c>
      <c r="I31" s="149" t="s">
        <v>197</v>
      </c>
      <c r="J31" s="216">
        <v>45904.708333333343</v>
      </c>
      <c r="K31" s="254" t="s">
        <v>112</v>
      </c>
      <c r="L31" s="216">
        <v>45906.5</v>
      </c>
      <c r="M31" s="255" t="s">
        <v>107</v>
      </c>
      <c r="N31" s="216">
        <v>45909.840199999999</v>
      </c>
      <c r="O31" s="255" t="s">
        <v>130</v>
      </c>
      <c r="P31" s="218"/>
      <c r="Q31" s="203"/>
      <c r="R31" s="203"/>
      <c r="S31" s="203"/>
      <c r="T31" s="203"/>
      <c r="U31" s="219"/>
      <c r="V31" s="219"/>
      <c r="W31" s="203"/>
      <c r="X31" s="219"/>
      <c r="Y31" s="219"/>
      <c r="Z31" s="203"/>
      <c r="AA31" s="203"/>
      <c r="AB31" s="203"/>
      <c r="AC31" s="218"/>
      <c r="AD31" s="202"/>
      <c r="AE31" s="203"/>
      <c r="AF31" s="218"/>
      <c r="AG31" s="218"/>
      <c r="AH31" s="202"/>
      <c r="AI31" s="202"/>
      <c r="AJ31" s="203"/>
      <c r="AK31" s="202"/>
      <c r="AL31" s="203"/>
      <c r="AM31" s="203"/>
      <c r="AN31" s="202"/>
      <c r="AO31" s="202"/>
      <c r="AP31" s="202"/>
      <c r="AQ31" s="203"/>
      <c r="AR31" s="203"/>
      <c r="AS31" s="203"/>
      <c r="AT31" s="203"/>
      <c r="AU31" s="203"/>
      <c r="AV31" s="202"/>
      <c r="AW31" s="203"/>
      <c r="AX31" s="203"/>
      <c r="AY31" s="202"/>
      <c r="AZ31" s="203"/>
      <c r="BA31" s="203"/>
      <c r="BB31" s="203"/>
      <c r="BC31" s="202"/>
      <c r="BD31" s="202"/>
      <c r="BE31" s="202"/>
      <c r="BF31" s="203"/>
      <c r="BG31" s="203"/>
      <c r="BH31" s="203"/>
      <c r="BI31" s="203">
        <f>SUM(TableOngoing[[#This Row],[EBH.HCV]:[PSB.LCV]])</f>
        <v>0</v>
      </c>
      <c r="BJ31" s="204">
        <v>83505</v>
      </c>
      <c r="BK31" s="220">
        <v>45898</v>
      </c>
      <c r="BL31" s="217" t="s">
        <v>221</v>
      </c>
      <c r="BM31" s="220">
        <v>45907</v>
      </c>
      <c r="BN31" s="217" t="s">
        <v>119</v>
      </c>
      <c r="BO31" s="205">
        <v>0.84695527213939281</v>
      </c>
      <c r="BP31" s="150" t="s">
        <v>214</v>
      </c>
      <c r="BQ31" s="207"/>
      <c r="BR31" s="208">
        <v>17.523813556825861</v>
      </c>
      <c r="BS31" s="208">
        <v>10.595215875029471</v>
      </c>
      <c r="BT31" s="208">
        <v>4.8539358481659578</v>
      </c>
      <c r="BU31" s="208">
        <v>4.4777706463331173</v>
      </c>
      <c r="BV31" s="208">
        <v>0.8930426471808941</v>
      </c>
      <c r="BW31" s="208">
        <v>0.82383456983288683</v>
      </c>
      <c r="BX31" s="209">
        <v>6437.5945769196733</v>
      </c>
      <c r="BY31" s="209">
        <v>5938.7006609112896</v>
      </c>
      <c r="BZ31" s="209">
        <v>5632.2524648702984</v>
      </c>
      <c r="CA31" s="221"/>
      <c r="CB31" s="221"/>
      <c r="CC31" s="230">
        <v>1.95270777591973</v>
      </c>
      <c r="CD31" s="195"/>
      <c r="CE31" s="211"/>
      <c r="CF31" s="211"/>
      <c r="CG31" s="211"/>
      <c r="CH31" s="212"/>
      <c r="CI31" s="222"/>
      <c r="CJ31" s="212"/>
      <c r="CK31" s="229">
        <v>-0.18561762768538839</v>
      </c>
      <c r="CL31" s="211"/>
      <c r="CM31" s="211"/>
      <c r="CN31" s="211"/>
      <c r="CO31" s="214"/>
      <c r="CP31" s="211"/>
      <c r="CQ31" s="211"/>
      <c r="CR31" s="211"/>
      <c r="CS31" s="211"/>
    </row>
    <row r="32" spans="1:97 1064:1064" ht="11.55" customHeight="1">
      <c r="A32" s="140">
        <v>29</v>
      </c>
      <c r="B32" s="215">
        <v>8</v>
      </c>
      <c r="C32" s="192">
        <v>45901</v>
      </c>
      <c r="D32" s="191" t="s">
        <v>26</v>
      </c>
      <c r="E32" s="197" t="s">
        <v>98</v>
      </c>
      <c r="F32" s="193" t="s">
        <v>222</v>
      </c>
      <c r="G32" s="193" t="s">
        <v>223</v>
      </c>
      <c r="H32" s="194" t="s">
        <v>224</v>
      </c>
      <c r="I32" s="149" t="s">
        <v>197</v>
      </c>
      <c r="J32" s="216">
        <v>45909</v>
      </c>
      <c r="K32" s="254" t="s">
        <v>130</v>
      </c>
      <c r="L32" s="216">
        <v>45910.5</v>
      </c>
      <c r="M32" s="255" t="s">
        <v>183</v>
      </c>
      <c r="N32" s="216">
        <v>45916</v>
      </c>
      <c r="O32" s="255" t="s">
        <v>159</v>
      </c>
      <c r="P32" s="218"/>
      <c r="Q32" s="203"/>
      <c r="R32" s="203"/>
      <c r="S32" s="203"/>
      <c r="T32" s="203"/>
      <c r="U32" s="219"/>
      <c r="V32" s="219"/>
      <c r="W32" s="203"/>
      <c r="X32" s="219"/>
      <c r="Y32" s="219"/>
      <c r="Z32" s="203"/>
      <c r="AA32" s="203"/>
      <c r="AB32" s="203"/>
      <c r="AC32" s="218"/>
      <c r="AD32" s="202"/>
      <c r="AE32" s="203"/>
      <c r="AF32" s="218"/>
      <c r="AG32" s="218"/>
      <c r="AH32" s="202"/>
      <c r="AI32" s="202"/>
      <c r="AJ32" s="203"/>
      <c r="AK32" s="202"/>
      <c r="AL32" s="203"/>
      <c r="AM32" s="203"/>
      <c r="AN32" s="202"/>
      <c r="AO32" s="202"/>
      <c r="AP32" s="202"/>
      <c r="AQ32" s="203"/>
      <c r="AR32" s="203"/>
      <c r="AS32" s="203"/>
      <c r="AT32" s="203"/>
      <c r="AU32" s="203"/>
      <c r="AV32" s="202"/>
      <c r="AW32" s="203"/>
      <c r="AX32" s="203"/>
      <c r="AY32" s="202"/>
      <c r="AZ32" s="203"/>
      <c r="BA32" s="203"/>
      <c r="BB32" s="203"/>
      <c r="BC32" s="202"/>
      <c r="BD32" s="202"/>
      <c r="BE32" s="202"/>
      <c r="BF32" s="203"/>
      <c r="BG32" s="203"/>
      <c r="BH32" s="203"/>
      <c r="BI32" s="203">
        <f>SUM(TableOngoing[[#This Row],[EBH.HCV]:[PSB.LCV]])</f>
        <v>0</v>
      </c>
      <c r="BJ32" s="204">
        <v>55000</v>
      </c>
      <c r="BK32" s="220">
        <v>45908</v>
      </c>
      <c r="BL32" s="217" t="s">
        <v>124</v>
      </c>
      <c r="BM32" s="220">
        <v>45914</v>
      </c>
      <c r="BN32" s="217" t="s">
        <v>140</v>
      </c>
      <c r="BO32" s="205">
        <v>1</v>
      </c>
      <c r="BP32" s="150" t="s">
        <v>115</v>
      </c>
      <c r="BQ32" s="207"/>
      <c r="BR32" s="208">
        <v>39</v>
      </c>
      <c r="BS32" s="208">
        <v>19.263750532649301</v>
      </c>
      <c r="BT32" s="208">
        <v>9.1505528116359098</v>
      </c>
      <c r="BU32" s="208">
        <v>6.9136692030203477</v>
      </c>
      <c r="BV32" s="208">
        <v>0.1840392422898848</v>
      </c>
      <c r="BW32" s="208">
        <v>0.13905022655558039</v>
      </c>
      <c r="BX32" s="209">
        <v>4893.2939720474869</v>
      </c>
      <c r="BY32" s="209">
        <v>3697.1116972135892</v>
      </c>
      <c r="BZ32" s="209">
        <v>3320.4582772135891</v>
      </c>
      <c r="CA32" s="221"/>
      <c r="CB32" s="221"/>
      <c r="CC32" s="195">
        <v>-1.59699604743083</v>
      </c>
      <c r="CD32" s="195"/>
      <c r="CE32" s="211"/>
      <c r="CF32" s="211"/>
      <c r="CG32" s="211"/>
      <c r="CH32" s="212"/>
      <c r="CI32" s="222"/>
      <c r="CJ32" s="212"/>
      <c r="CK32" s="229">
        <v>-0.1818181818181818</v>
      </c>
      <c r="CL32" s="211"/>
      <c r="CM32" s="211"/>
      <c r="CN32" s="211"/>
      <c r="CO32" s="214"/>
      <c r="CP32" s="211"/>
      <c r="CQ32" s="211"/>
      <c r="CR32" s="211"/>
      <c r="CS32" s="211"/>
    </row>
    <row r="33" spans="1:97" ht="11.25" customHeight="1">
      <c r="A33" s="238">
        <v>30</v>
      </c>
      <c r="B33" s="215">
        <v>9</v>
      </c>
      <c r="C33" s="237">
        <v>45901</v>
      </c>
      <c r="D33" s="238" t="s">
        <v>148</v>
      </c>
      <c r="E33" s="197" t="s">
        <v>98</v>
      </c>
      <c r="F33" s="248" t="s">
        <v>225</v>
      </c>
      <c r="G33" s="248" t="s">
        <v>226</v>
      </c>
      <c r="H33" s="249" t="s">
        <v>227</v>
      </c>
      <c r="I33" s="224" t="s">
        <v>197</v>
      </c>
      <c r="J33" s="216">
        <v>45907</v>
      </c>
      <c r="K33" s="254" t="s">
        <v>119</v>
      </c>
      <c r="L33" s="216">
        <v>45912.5</v>
      </c>
      <c r="M33" s="255" t="s">
        <v>126</v>
      </c>
      <c r="N33" s="216">
        <v>45915.446199999998</v>
      </c>
      <c r="O33" s="255" t="s">
        <v>137</v>
      </c>
      <c r="P33" s="218"/>
      <c r="Q33" s="203"/>
      <c r="R33" s="203"/>
      <c r="S33" s="203"/>
      <c r="T33" s="203"/>
      <c r="U33" s="219"/>
      <c r="V33" s="219"/>
      <c r="W33" s="203"/>
      <c r="X33" s="219"/>
      <c r="Y33" s="219"/>
      <c r="Z33" s="203"/>
      <c r="AA33" s="203"/>
      <c r="AB33" s="203"/>
      <c r="AC33" s="218"/>
      <c r="AD33" s="202"/>
      <c r="AE33" s="203"/>
      <c r="AF33" s="218"/>
      <c r="AG33" s="218"/>
      <c r="AH33" s="202"/>
      <c r="AI33" s="202"/>
      <c r="AJ33" s="203"/>
      <c r="AK33" s="202"/>
      <c r="AL33" s="203"/>
      <c r="AM33" s="203"/>
      <c r="AN33" s="202"/>
      <c r="AO33" s="202"/>
      <c r="AP33" s="202"/>
      <c r="AQ33" s="203"/>
      <c r="AR33" s="203"/>
      <c r="AS33" s="203"/>
      <c r="AT33" s="203"/>
      <c r="AU33" s="203"/>
      <c r="AV33" s="202"/>
      <c r="AW33" s="203"/>
      <c r="AX33" s="203"/>
      <c r="AY33" s="202"/>
      <c r="AZ33" s="203"/>
      <c r="BA33" s="203"/>
      <c r="BB33" s="203"/>
      <c r="BC33" s="202"/>
      <c r="BD33" s="202"/>
      <c r="BE33" s="202"/>
      <c r="BF33" s="203"/>
      <c r="BG33" s="203"/>
      <c r="BH33" s="203"/>
      <c r="BI33" s="203"/>
      <c r="BJ33" s="204">
        <v>73655</v>
      </c>
      <c r="BK33" s="220">
        <v>45904</v>
      </c>
      <c r="BL33" s="217" t="s">
        <v>112</v>
      </c>
      <c r="BM33" s="220">
        <v>45913</v>
      </c>
      <c r="BN33" s="217" t="s">
        <v>114</v>
      </c>
      <c r="BO33" s="205">
        <v>0.59267558210576343</v>
      </c>
      <c r="BP33" s="206" t="s">
        <v>115</v>
      </c>
      <c r="BQ33" s="207"/>
      <c r="BR33" s="208">
        <v>13.377959647367691</v>
      </c>
      <c r="BS33" s="208">
        <v>7.7535849209339887</v>
      </c>
      <c r="BT33" s="208">
        <v>5.1070342909736084</v>
      </c>
      <c r="BU33" s="208">
        <v>4.795652276089208</v>
      </c>
      <c r="BV33" s="208">
        <v>0.92009774284819112</v>
      </c>
      <c r="BW33" s="208">
        <v>0.86399827831844767</v>
      </c>
      <c r="BX33" s="209">
        <v>6767.9322351034534</v>
      </c>
      <c r="BY33" s="209">
        <v>6355.2832776268369</v>
      </c>
      <c r="BZ33" s="209">
        <v>6062.3877950987853</v>
      </c>
      <c r="CA33" s="221"/>
      <c r="CB33" s="221"/>
      <c r="CC33" s="239">
        <v>3.85969960474308</v>
      </c>
      <c r="CD33" s="239"/>
      <c r="CE33" s="211"/>
      <c r="CF33" s="211"/>
      <c r="CG33" s="211"/>
      <c r="CH33" s="212"/>
      <c r="CI33" s="222"/>
      <c r="CJ33" s="212"/>
      <c r="CK33" s="250">
        <v>-1.221912972642359</v>
      </c>
      <c r="CL33" s="211"/>
      <c r="CM33" s="211"/>
      <c r="CN33" s="211"/>
      <c r="CO33" s="214"/>
      <c r="CP33" s="211"/>
      <c r="CQ33" s="211"/>
      <c r="CR33" s="211"/>
      <c r="CS33" s="211"/>
    </row>
    <row r="34" spans="1:97" ht="11.25" customHeight="1">
      <c r="A34" s="238">
        <v>31</v>
      </c>
      <c r="B34" s="215">
        <v>10</v>
      </c>
      <c r="C34" s="237">
        <v>45901</v>
      </c>
      <c r="D34" s="238" t="s">
        <v>133</v>
      </c>
      <c r="E34" s="197" t="s">
        <v>98</v>
      </c>
      <c r="F34" s="248" t="s">
        <v>228</v>
      </c>
      <c r="G34" s="248" t="s">
        <v>229</v>
      </c>
      <c r="H34" s="249" t="s">
        <v>230</v>
      </c>
      <c r="I34" s="224" t="s">
        <v>197</v>
      </c>
      <c r="J34" s="216">
        <v>45904</v>
      </c>
      <c r="K34" s="254" t="s">
        <v>112</v>
      </c>
      <c r="L34" s="216">
        <v>45912.5</v>
      </c>
      <c r="M34" s="255" t="s">
        <v>126</v>
      </c>
      <c r="N34" s="216">
        <v>45915.68</v>
      </c>
      <c r="O34" s="255" t="s">
        <v>137</v>
      </c>
      <c r="P34" s="218"/>
      <c r="Q34" s="203"/>
      <c r="R34" s="203"/>
      <c r="S34" s="203"/>
      <c r="T34" s="203"/>
      <c r="U34" s="219"/>
      <c r="V34" s="219"/>
      <c r="W34" s="203"/>
      <c r="X34" s="219"/>
      <c r="Y34" s="219"/>
      <c r="Z34" s="203"/>
      <c r="AA34" s="203"/>
      <c r="AB34" s="203"/>
      <c r="AC34" s="218"/>
      <c r="AD34" s="202"/>
      <c r="AE34" s="203"/>
      <c r="AF34" s="218"/>
      <c r="AG34" s="218"/>
      <c r="AH34" s="202"/>
      <c r="AI34" s="202"/>
      <c r="AJ34" s="203"/>
      <c r="AK34" s="202"/>
      <c r="AL34" s="203"/>
      <c r="AM34" s="203"/>
      <c r="AN34" s="202"/>
      <c r="AO34" s="202"/>
      <c r="AP34" s="202"/>
      <c r="AQ34" s="203"/>
      <c r="AR34" s="203"/>
      <c r="AS34" s="203"/>
      <c r="AT34" s="203"/>
      <c r="AU34" s="203"/>
      <c r="AV34" s="202"/>
      <c r="AW34" s="203"/>
      <c r="AX34" s="203"/>
      <c r="AY34" s="202"/>
      <c r="AZ34" s="203"/>
      <c r="BA34" s="203"/>
      <c r="BB34" s="203"/>
      <c r="BC34" s="202"/>
      <c r="BD34" s="202"/>
      <c r="BE34" s="202"/>
      <c r="BF34" s="203"/>
      <c r="BG34" s="203"/>
      <c r="BH34" s="203"/>
      <c r="BI34" s="203"/>
      <c r="BJ34" s="204">
        <v>79500</v>
      </c>
      <c r="BK34" s="220">
        <v>45901</v>
      </c>
      <c r="BL34" s="217" t="s">
        <v>105</v>
      </c>
      <c r="BM34" s="220">
        <v>45910</v>
      </c>
      <c r="BN34" s="217" t="s">
        <v>183</v>
      </c>
      <c r="BO34" s="205">
        <v>0.83899371069182394</v>
      </c>
      <c r="BP34" s="206" t="s">
        <v>115</v>
      </c>
      <c r="BQ34" s="207"/>
      <c r="BR34" s="208">
        <v>17.689337091030161</v>
      </c>
      <c r="BS34" s="208">
        <v>10.633189324361391</v>
      </c>
      <c r="BT34" s="208">
        <v>4.5874352036650574</v>
      </c>
      <c r="BU34" s="208">
        <v>4.2252244408286597</v>
      </c>
      <c r="BV34" s="208">
        <v>0.5745578286871722</v>
      </c>
      <c r="BW34" s="208">
        <v>0.52919238586715422</v>
      </c>
      <c r="BX34" s="209">
        <v>6432.5100674729601</v>
      </c>
      <c r="BY34" s="209">
        <v>5924.6174706182446</v>
      </c>
      <c r="BZ34" s="209">
        <v>5617.6281814544091</v>
      </c>
      <c r="CA34" s="221"/>
      <c r="CB34" s="221"/>
      <c r="CC34" s="239">
        <v>1.7605232</v>
      </c>
      <c r="CD34" s="239"/>
      <c r="CE34" s="211"/>
      <c r="CF34" s="211"/>
      <c r="CG34" s="211"/>
      <c r="CH34" s="212"/>
      <c r="CI34" s="222"/>
      <c r="CJ34" s="212"/>
      <c r="CK34" s="250">
        <v>-1.8113207547170469</v>
      </c>
      <c r="CL34" s="211"/>
      <c r="CM34" s="211"/>
      <c r="CN34" s="211"/>
      <c r="CO34" s="214"/>
      <c r="CP34" s="211"/>
      <c r="CQ34" s="211"/>
      <c r="CR34" s="211"/>
      <c r="CS34" s="211"/>
    </row>
    <row r="35" spans="1:97" ht="11.25" customHeight="1">
      <c r="A35" s="238">
        <v>32</v>
      </c>
      <c r="B35" s="215">
        <v>11</v>
      </c>
      <c r="C35" s="237">
        <v>45901</v>
      </c>
      <c r="D35" s="238" t="s">
        <v>155</v>
      </c>
      <c r="E35" s="197" t="s">
        <v>98</v>
      </c>
      <c r="F35" s="248" t="s">
        <v>141</v>
      </c>
      <c r="G35" s="248" t="s">
        <v>231</v>
      </c>
      <c r="H35" s="249" t="s">
        <v>232</v>
      </c>
      <c r="I35" s="224" t="s">
        <v>197</v>
      </c>
      <c r="J35" s="216">
        <v>45910</v>
      </c>
      <c r="K35" s="254" t="s">
        <v>183</v>
      </c>
      <c r="L35" s="216">
        <v>45914.845648148148</v>
      </c>
      <c r="M35" s="255" t="s">
        <v>140</v>
      </c>
      <c r="N35" s="216">
        <v>45917.845648148148</v>
      </c>
      <c r="O35" s="255" t="s">
        <v>132</v>
      </c>
      <c r="P35" s="218"/>
      <c r="Q35" s="203"/>
      <c r="R35" s="203"/>
      <c r="S35" s="203"/>
      <c r="T35" s="203"/>
      <c r="U35" s="219"/>
      <c r="V35" s="219"/>
      <c r="W35" s="203"/>
      <c r="X35" s="219"/>
      <c r="Y35" s="219"/>
      <c r="Z35" s="203"/>
      <c r="AA35" s="203"/>
      <c r="AB35" s="203"/>
      <c r="AC35" s="218"/>
      <c r="AD35" s="202"/>
      <c r="AE35" s="203"/>
      <c r="AF35" s="218"/>
      <c r="AG35" s="218"/>
      <c r="AH35" s="202"/>
      <c r="AI35" s="202"/>
      <c r="AJ35" s="203"/>
      <c r="AK35" s="202"/>
      <c r="AL35" s="203"/>
      <c r="AM35" s="203"/>
      <c r="AN35" s="202"/>
      <c r="AO35" s="202"/>
      <c r="AP35" s="202"/>
      <c r="AQ35" s="203"/>
      <c r="AR35" s="203"/>
      <c r="AS35" s="203"/>
      <c r="AT35" s="203"/>
      <c r="AU35" s="203"/>
      <c r="AV35" s="202"/>
      <c r="AW35" s="203"/>
      <c r="AX35" s="203"/>
      <c r="AY35" s="202"/>
      <c r="AZ35" s="203"/>
      <c r="BA35" s="203"/>
      <c r="BB35" s="203"/>
      <c r="BC35" s="202"/>
      <c r="BD35" s="202"/>
      <c r="BE35" s="202"/>
      <c r="BF35" s="203"/>
      <c r="BG35" s="203"/>
      <c r="BH35" s="203"/>
      <c r="BI35" s="203"/>
      <c r="BJ35" s="204">
        <v>75000</v>
      </c>
      <c r="BK35" s="220">
        <v>45910</v>
      </c>
      <c r="BL35" s="217" t="s">
        <v>183</v>
      </c>
      <c r="BM35" s="220">
        <v>45919</v>
      </c>
      <c r="BN35" s="217" t="s">
        <v>152</v>
      </c>
      <c r="BO35" s="205">
        <v>0.29764000000000002</v>
      </c>
      <c r="BP35" s="206" t="s">
        <v>115</v>
      </c>
      <c r="BQ35" s="207"/>
      <c r="BR35" s="208">
        <v>20.8</v>
      </c>
      <c r="BS35" s="208">
        <v>11.15</v>
      </c>
      <c r="BT35" s="208">
        <v>4.75</v>
      </c>
      <c r="BU35" s="208">
        <v>4.24</v>
      </c>
      <c r="BV35" s="208">
        <v>0.93</v>
      </c>
      <c r="BW35" s="208">
        <v>0.83</v>
      </c>
      <c r="BX35" s="209">
        <v>6272</v>
      </c>
      <c r="BY35" s="209">
        <v>5591</v>
      </c>
      <c r="BZ35" s="209">
        <v>5274</v>
      </c>
      <c r="CA35" s="221"/>
      <c r="CB35" s="221"/>
      <c r="CC35" s="239">
        <v>0.47607023411371002</v>
      </c>
      <c r="CD35" s="239"/>
      <c r="CE35" s="211"/>
      <c r="CF35" s="211"/>
      <c r="CG35" s="211"/>
      <c r="CH35" s="212"/>
      <c r="CI35" s="222"/>
      <c r="CJ35" s="212"/>
      <c r="CK35" s="250">
        <v>-1.042955555555527</v>
      </c>
      <c r="CL35" s="211"/>
      <c r="CM35" s="211"/>
      <c r="CN35" s="211"/>
      <c r="CO35" s="214"/>
      <c r="CP35" s="211"/>
      <c r="CQ35" s="211"/>
      <c r="CR35" s="211"/>
      <c r="CS35" s="211"/>
    </row>
    <row r="36" spans="1:97" ht="11.25" customHeight="1">
      <c r="A36" s="238">
        <v>33</v>
      </c>
      <c r="B36" s="215">
        <v>12</v>
      </c>
      <c r="C36" s="237">
        <v>45901</v>
      </c>
      <c r="D36" s="238" t="s">
        <v>133</v>
      </c>
      <c r="E36" s="197" t="s">
        <v>98</v>
      </c>
      <c r="F36" s="248" t="s">
        <v>156</v>
      </c>
      <c r="G36" s="248" t="s">
        <v>233</v>
      </c>
      <c r="H36" s="249" t="s">
        <v>234</v>
      </c>
      <c r="I36" s="224" t="s">
        <v>197</v>
      </c>
      <c r="J36" s="216">
        <v>45911</v>
      </c>
      <c r="K36" s="254" t="s">
        <v>131</v>
      </c>
      <c r="L36" s="216">
        <v>45916.5</v>
      </c>
      <c r="M36" s="255" t="s">
        <v>159</v>
      </c>
      <c r="N36" s="216">
        <v>45919.5</v>
      </c>
      <c r="O36" s="255" t="s">
        <v>152</v>
      </c>
      <c r="P36" s="218"/>
      <c r="Q36" s="203"/>
      <c r="R36" s="203"/>
      <c r="S36" s="203"/>
      <c r="T36" s="203"/>
      <c r="U36" s="219"/>
      <c r="V36" s="219"/>
      <c r="W36" s="203"/>
      <c r="X36" s="219"/>
      <c r="Y36" s="219"/>
      <c r="Z36" s="203"/>
      <c r="AA36" s="203"/>
      <c r="AB36" s="203"/>
      <c r="AC36" s="218"/>
      <c r="AD36" s="202"/>
      <c r="AE36" s="203"/>
      <c r="AF36" s="218"/>
      <c r="AG36" s="218"/>
      <c r="AH36" s="202"/>
      <c r="AI36" s="202"/>
      <c r="AJ36" s="203"/>
      <c r="AK36" s="202"/>
      <c r="AL36" s="203"/>
      <c r="AM36" s="203"/>
      <c r="AN36" s="202"/>
      <c r="AO36" s="202"/>
      <c r="AP36" s="202"/>
      <c r="AQ36" s="203"/>
      <c r="AR36" s="203"/>
      <c r="AS36" s="203"/>
      <c r="AT36" s="203"/>
      <c r="AU36" s="203"/>
      <c r="AV36" s="202"/>
      <c r="AW36" s="203"/>
      <c r="AX36" s="203"/>
      <c r="AY36" s="202"/>
      <c r="AZ36" s="203"/>
      <c r="BA36" s="203"/>
      <c r="BB36" s="203"/>
      <c r="BC36" s="202"/>
      <c r="BD36" s="202"/>
      <c r="BE36" s="202"/>
      <c r="BF36" s="203"/>
      <c r="BG36" s="203"/>
      <c r="BH36" s="203"/>
      <c r="BI36" s="203"/>
      <c r="BJ36" s="204">
        <v>75000</v>
      </c>
      <c r="BK36" s="220">
        <v>45911</v>
      </c>
      <c r="BL36" s="217" t="s">
        <v>131</v>
      </c>
      <c r="BM36" s="220">
        <v>45920</v>
      </c>
      <c r="BN36" s="217" t="s">
        <v>144</v>
      </c>
      <c r="BO36" s="205">
        <v>0.72933333333333328</v>
      </c>
      <c r="BP36" s="206" t="s">
        <v>115</v>
      </c>
      <c r="BQ36" s="207"/>
      <c r="BR36" s="208">
        <v>20.69161051785148</v>
      </c>
      <c r="BS36" s="208">
        <v>12.23139698570836</v>
      </c>
      <c r="BT36" s="208">
        <v>6.6284563824127458</v>
      </c>
      <c r="BU36" s="208">
        <v>5.9755883376382624</v>
      </c>
      <c r="BV36" s="208">
        <v>1.311474420692502</v>
      </c>
      <c r="BW36" s="208">
        <v>1.2122652917602339</v>
      </c>
      <c r="BX36" s="209">
        <v>6077.8025677142314</v>
      </c>
      <c r="BY36" s="209">
        <v>5511.7879764216377</v>
      </c>
      <c r="BZ36" s="209">
        <v>5201.0026401271189</v>
      </c>
      <c r="CA36" s="221"/>
      <c r="CB36" s="221"/>
      <c r="CC36" s="239">
        <v>0.6512481</v>
      </c>
      <c r="CD36" s="239"/>
      <c r="CE36" s="211"/>
      <c r="CF36" s="211"/>
      <c r="CG36" s="211"/>
      <c r="CH36" s="212"/>
      <c r="CI36" s="222"/>
      <c r="CJ36" s="212"/>
      <c r="CK36" s="250">
        <v>-1.2</v>
      </c>
      <c r="CL36" s="211"/>
      <c r="CM36" s="211"/>
      <c r="CN36" s="211"/>
      <c r="CO36" s="214"/>
      <c r="CP36" s="211"/>
      <c r="CQ36" s="211"/>
      <c r="CR36" s="211"/>
      <c r="CS36" s="211"/>
    </row>
    <row r="37" spans="1:97" ht="11.25" customHeight="1">
      <c r="A37" s="238">
        <v>34</v>
      </c>
      <c r="B37" s="215">
        <v>13</v>
      </c>
      <c r="C37" s="237">
        <v>45901</v>
      </c>
      <c r="D37" s="238" t="s">
        <v>155</v>
      </c>
      <c r="E37" s="197" t="s">
        <v>98</v>
      </c>
      <c r="F37" s="248" t="s">
        <v>141</v>
      </c>
      <c r="G37" s="248" t="s">
        <v>235</v>
      </c>
      <c r="H37" s="249" t="s">
        <v>236</v>
      </c>
      <c r="I37" s="224" t="s">
        <v>197</v>
      </c>
      <c r="J37" s="216">
        <v>45913</v>
      </c>
      <c r="K37" s="254" t="s">
        <v>114</v>
      </c>
      <c r="L37" s="216">
        <v>45917.5</v>
      </c>
      <c r="M37" s="255" t="s">
        <v>132</v>
      </c>
      <c r="N37" s="216">
        <v>45920.3</v>
      </c>
      <c r="O37" s="255" t="s">
        <v>144</v>
      </c>
      <c r="P37" s="218"/>
      <c r="Q37" s="203"/>
      <c r="R37" s="203"/>
      <c r="S37" s="203"/>
      <c r="T37" s="203"/>
      <c r="U37" s="219"/>
      <c r="V37" s="219"/>
      <c r="W37" s="203"/>
      <c r="X37" s="219"/>
      <c r="Y37" s="219"/>
      <c r="Z37" s="203"/>
      <c r="AA37" s="203"/>
      <c r="AB37" s="203"/>
      <c r="AC37" s="218"/>
      <c r="AD37" s="202"/>
      <c r="AE37" s="203"/>
      <c r="AF37" s="218"/>
      <c r="AG37" s="218"/>
      <c r="AH37" s="202"/>
      <c r="AI37" s="202"/>
      <c r="AJ37" s="203"/>
      <c r="AK37" s="202"/>
      <c r="AL37" s="203"/>
      <c r="AM37" s="203"/>
      <c r="AN37" s="202"/>
      <c r="AO37" s="202"/>
      <c r="AP37" s="202"/>
      <c r="AQ37" s="203"/>
      <c r="AR37" s="203"/>
      <c r="AS37" s="203"/>
      <c r="AT37" s="203"/>
      <c r="AU37" s="203"/>
      <c r="AV37" s="202"/>
      <c r="AW37" s="203"/>
      <c r="AX37" s="203"/>
      <c r="AY37" s="202"/>
      <c r="AZ37" s="203"/>
      <c r="BA37" s="203"/>
      <c r="BB37" s="203"/>
      <c r="BC37" s="202"/>
      <c r="BD37" s="202"/>
      <c r="BE37" s="202"/>
      <c r="BF37" s="203"/>
      <c r="BG37" s="203"/>
      <c r="BH37" s="203"/>
      <c r="BI37" s="203"/>
      <c r="BJ37" s="204">
        <v>70000</v>
      </c>
      <c r="BK37" s="220">
        <v>45913</v>
      </c>
      <c r="BL37" s="217" t="s">
        <v>114</v>
      </c>
      <c r="BM37" s="220">
        <v>45922</v>
      </c>
      <c r="BN37" s="217" t="s">
        <v>147</v>
      </c>
      <c r="BO37" s="205">
        <v>0.42857142857142849</v>
      </c>
      <c r="BP37" s="206" t="s">
        <v>115</v>
      </c>
      <c r="BQ37" s="207"/>
      <c r="BR37" s="208">
        <v>21.09650792921952</v>
      </c>
      <c r="BS37" s="208">
        <v>10.814189053779</v>
      </c>
      <c r="BT37" s="208">
        <v>5.7891989100759771</v>
      </c>
      <c r="BU37" s="208">
        <v>5.0875205895549476</v>
      </c>
      <c r="BV37" s="208">
        <v>0.81212202682289036</v>
      </c>
      <c r="BW37" s="208">
        <v>0.74644281338990381</v>
      </c>
      <c r="BX37" s="209">
        <v>6237.3181915720043</v>
      </c>
      <c r="BY37" s="209">
        <v>5543.7873351023909</v>
      </c>
      <c r="BZ37" s="209">
        <v>5234.649737367964</v>
      </c>
      <c r="CA37" s="221"/>
      <c r="CB37" s="221"/>
      <c r="CC37" s="239">
        <v>0.98267229132877998</v>
      </c>
      <c r="CD37" s="239"/>
      <c r="CE37" s="211"/>
      <c r="CF37" s="211"/>
      <c r="CG37" s="211"/>
      <c r="CH37" s="212"/>
      <c r="CI37" s="222"/>
      <c r="CJ37" s="212"/>
      <c r="CK37" s="250">
        <v>-1.028571428572177</v>
      </c>
      <c r="CL37" s="211"/>
      <c r="CM37" s="211"/>
      <c r="CN37" s="211"/>
      <c r="CO37" s="214"/>
      <c r="CP37" s="211"/>
      <c r="CQ37" s="211"/>
      <c r="CR37" s="211"/>
      <c r="CS37" s="211"/>
    </row>
    <row r="38" spans="1:97" ht="11.25" customHeight="1">
      <c r="A38" s="238">
        <v>35</v>
      </c>
      <c r="B38" s="215">
        <v>14</v>
      </c>
      <c r="C38" s="237">
        <v>45901</v>
      </c>
      <c r="D38" s="238" t="s">
        <v>133</v>
      </c>
      <c r="E38" s="197" t="s">
        <v>98</v>
      </c>
      <c r="F38" s="248" t="s">
        <v>141</v>
      </c>
      <c r="G38" s="248" t="s">
        <v>237</v>
      </c>
      <c r="H38" s="249" t="s">
        <v>238</v>
      </c>
      <c r="I38" s="224" t="s">
        <v>197</v>
      </c>
      <c r="J38" s="216">
        <v>45913</v>
      </c>
      <c r="K38" s="254" t="s">
        <v>114</v>
      </c>
      <c r="L38" s="216">
        <v>45919.5</v>
      </c>
      <c r="M38" s="255" t="s">
        <v>152</v>
      </c>
      <c r="N38" s="216">
        <v>45922.5</v>
      </c>
      <c r="O38" s="255" t="s">
        <v>147</v>
      </c>
      <c r="P38" s="218"/>
      <c r="Q38" s="203"/>
      <c r="R38" s="203"/>
      <c r="S38" s="203"/>
      <c r="T38" s="203"/>
      <c r="U38" s="219"/>
      <c r="V38" s="219"/>
      <c r="W38" s="203"/>
      <c r="X38" s="219"/>
      <c r="Y38" s="219"/>
      <c r="Z38" s="203"/>
      <c r="AA38" s="203"/>
      <c r="AB38" s="203"/>
      <c r="AC38" s="218"/>
      <c r="AD38" s="202"/>
      <c r="AE38" s="203"/>
      <c r="AF38" s="218"/>
      <c r="AG38" s="218"/>
      <c r="AH38" s="202"/>
      <c r="AI38" s="202"/>
      <c r="AJ38" s="203"/>
      <c r="AK38" s="202"/>
      <c r="AL38" s="203"/>
      <c r="AM38" s="203"/>
      <c r="AN38" s="202"/>
      <c r="AO38" s="202"/>
      <c r="AP38" s="202"/>
      <c r="AQ38" s="203"/>
      <c r="AR38" s="203"/>
      <c r="AS38" s="203"/>
      <c r="AT38" s="203"/>
      <c r="AU38" s="203"/>
      <c r="AV38" s="202"/>
      <c r="AW38" s="203"/>
      <c r="AX38" s="203"/>
      <c r="AY38" s="202"/>
      <c r="AZ38" s="203"/>
      <c r="BA38" s="203"/>
      <c r="BB38" s="203"/>
      <c r="BC38" s="202"/>
      <c r="BD38" s="202"/>
      <c r="BE38" s="202"/>
      <c r="BF38" s="203"/>
      <c r="BG38" s="203"/>
      <c r="BH38" s="203"/>
      <c r="BI38" s="203"/>
      <c r="BJ38" s="204">
        <v>75000</v>
      </c>
      <c r="BK38" s="220">
        <v>45913</v>
      </c>
      <c r="BL38" s="217" t="s">
        <v>114</v>
      </c>
      <c r="BM38" s="220">
        <v>45922</v>
      </c>
      <c r="BN38" s="217" t="s">
        <v>147</v>
      </c>
      <c r="BO38" s="205">
        <v>0.7</v>
      </c>
      <c r="BP38" s="206" t="s">
        <v>115</v>
      </c>
      <c r="BQ38" s="207"/>
      <c r="BR38" s="208">
        <v>21.290732795874131</v>
      </c>
      <c r="BS38" s="208">
        <v>12.40672668702466</v>
      </c>
      <c r="BT38" s="208">
        <v>5.8101629778895454</v>
      </c>
      <c r="BU38" s="208">
        <v>5.1513109647409081</v>
      </c>
      <c r="BV38" s="208">
        <v>0.96197838153659565</v>
      </c>
      <c r="BW38" s="208">
        <v>0.89385554849238102</v>
      </c>
      <c r="BX38" s="209">
        <v>6105.5116428746223</v>
      </c>
      <c r="BY38" s="209">
        <v>5513.0832501580571</v>
      </c>
      <c r="BZ38" s="209">
        <v>5184.3417626327582</v>
      </c>
      <c r="CA38" s="221"/>
      <c r="CB38" s="221"/>
      <c r="CC38" s="239">
        <v>0.34960339761904702</v>
      </c>
      <c r="CD38" s="239"/>
      <c r="CE38" s="211"/>
      <c r="CF38" s="211"/>
      <c r="CG38" s="211"/>
      <c r="CH38" s="212"/>
      <c r="CI38" s="222"/>
      <c r="CJ38" s="212"/>
      <c r="CK38" s="250">
        <v>-1.44</v>
      </c>
      <c r="CL38" s="211"/>
      <c r="CM38" s="211"/>
      <c r="CN38" s="211"/>
      <c r="CO38" s="214"/>
      <c r="CP38" s="211"/>
      <c r="CQ38" s="211"/>
      <c r="CR38" s="211"/>
      <c r="CS38" s="211"/>
    </row>
    <row r="39" spans="1:97" ht="11.25" customHeight="1">
      <c r="A39" s="238">
        <v>36</v>
      </c>
      <c r="B39" s="215">
        <v>15</v>
      </c>
      <c r="C39" s="237">
        <v>45901</v>
      </c>
      <c r="D39" s="238" t="s">
        <v>133</v>
      </c>
      <c r="E39" s="197" t="s">
        <v>98</v>
      </c>
      <c r="F39" s="248" t="s">
        <v>141</v>
      </c>
      <c r="G39" s="248" t="s">
        <v>239</v>
      </c>
      <c r="H39" s="249" t="s">
        <v>240</v>
      </c>
      <c r="I39" s="224" t="s">
        <v>197</v>
      </c>
      <c r="J39" s="216">
        <v>45914</v>
      </c>
      <c r="K39" s="254" t="s">
        <v>140</v>
      </c>
      <c r="L39" s="216">
        <v>45921.5</v>
      </c>
      <c r="M39" s="255" t="s">
        <v>160</v>
      </c>
      <c r="N39" s="216">
        <v>45924.5</v>
      </c>
      <c r="O39" s="255" t="s">
        <v>154</v>
      </c>
      <c r="P39" s="218"/>
      <c r="Q39" s="203"/>
      <c r="R39" s="203"/>
      <c r="S39" s="203"/>
      <c r="T39" s="203"/>
      <c r="U39" s="219"/>
      <c r="V39" s="219"/>
      <c r="W39" s="203"/>
      <c r="X39" s="219"/>
      <c r="Y39" s="219"/>
      <c r="Z39" s="203"/>
      <c r="AA39" s="203"/>
      <c r="AB39" s="203"/>
      <c r="AC39" s="218"/>
      <c r="AD39" s="202"/>
      <c r="AE39" s="203"/>
      <c r="AF39" s="218"/>
      <c r="AG39" s="218"/>
      <c r="AH39" s="202"/>
      <c r="AI39" s="202"/>
      <c r="AJ39" s="203"/>
      <c r="AK39" s="202"/>
      <c r="AL39" s="203"/>
      <c r="AM39" s="203"/>
      <c r="AN39" s="202"/>
      <c r="AO39" s="202"/>
      <c r="AP39" s="202"/>
      <c r="AQ39" s="203"/>
      <c r="AR39" s="203"/>
      <c r="AS39" s="203"/>
      <c r="AT39" s="203"/>
      <c r="AU39" s="203"/>
      <c r="AV39" s="202"/>
      <c r="AW39" s="203"/>
      <c r="AX39" s="203"/>
      <c r="AY39" s="202"/>
      <c r="AZ39" s="203"/>
      <c r="BA39" s="203"/>
      <c r="BB39" s="203"/>
      <c r="BC39" s="202"/>
      <c r="BD39" s="202"/>
      <c r="BE39" s="202"/>
      <c r="BF39" s="203"/>
      <c r="BG39" s="203"/>
      <c r="BH39" s="203"/>
      <c r="BI39" s="203"/>
      <c r="BJ39" s="204">
        <v>75000</v>
      </c>
      <c r="BK39" s="220">
        <v>45914</v>
      </c>
      <c r="BL39" s="217" t="s">
        <v>140</v>
      </c>
      <c r="BM39" s="220">
        <v>45923</v>
      </c>
      <c r="BN39" s="217" t="s">
        <v>172</v>
      </c>
      <c r="BO39" s="205">
        <v>0.6</v>
      </c>
      <c r="BP39" s="206" t="s">
        <v>115</v>
      </c>
      <c r="BQ39" s="207"/>
      <c r="BR39" s="208">
        <v>18.15636823123635</v>
      </c>
      <c r="BS39" s="208">
        <v>11.092017891819649</v>
      </c>
      <c r="BT39" s="208">
        <v>6.6176545397960602</v>
      </c>
      <c r="BU39" s="208">
        <v>6.111133000427218</v>
      </c>
      <c r="BV39" s="208">
        <v>1.3635250913638659</v>
      </c>
      <c r="BW39" s="208">
        <v>1.269888041902312</v>
      </c>
      <c r="BX39" s="209">
        <v>6141.3288547197608</v>
      </c>
      <c r="BY39" s="209">
        <v>5656.8565004899901</v>
      </c>
      <c r="BZ39" s="209">
        <v>5333.5056167672419</v>
      </c>
      <c r="CA39" s="221"/>
      <c r="CB39" s="221"/>
      <c r="CC39" s="239">
        <v>1.0901904760000001</v>
      </c>
      <c r="CD39" s="239"/>
      <c r="CE39" s="211"/>
      <c r="CF39" s="211"/>
      <c r="CG39" s="211"/>
      <c r="CH39" s="212"/>
      <c r="CI39" s="222"/>
      <c r="CJ39" s="212"/>
      <c r="CK39" s="250">
        <v>-1.68</v>
      </c>
      <c r="CL39" s="211"/>
      <c r="CM39" s="211"/>
      <c r="CN39" s="211"/>
      <c r="CO39" s="214"/>
      <c r="CP39" s="211"/>
      <c r="CQ39" s="211"/>
      <c r="CR39" s="211"/>
      <c r="CS39" s="211"/>
    </row>
    <row r="40" spans="1:97" ht="11.25" customHeight="1">
      <c r="A40" s="238">
        <v>37</v>
      </c>
      <c r="B40" s="215">
        <v>16</v>
      </c>
      <c r="C40" s="237">
        <v>45901</v>
      </c>
      <c r="D40" s="238" t="s">
        <v>133</v>
      </c>
      <c r="E40" s="197" t="s">
        <v>98</v>
      </c>
      <c r="F40" s="248" t="s">
        <v>241</v>
      </c>
      <c r="G40" s="248" t="s">
        <v>208</v>
      </c>
      <c r="H40" s="249" t="s">
        <v>242</v>
      </c>
      <c r="I40" s="224" t="s">
        <v>197</v>
      </c>
      <c r="J40" s="216">
        <v>45918</v>
      </c>
      <c r="K40" s="254" t="s">
        <v>151</v>
      </c>
      <c r="L40" s="216">
        <v>45923.166666666657</v>
      </c>
      <c r="M40" s="255" t="s">
        <v>172</v>
      </c>
      <c r="N40" s="216">
        <v>45925.966666666667</v>
      </c>
      <c r="O40" s="255" t="s">
        <v>161</v>
      </c>
      <c r="P40" s="218"/>
      <c r="Q40" s="203"/>
      <c r="R40" s="203"/>
      <c r="S40" s="203"/>
      <c r="T40" s="203"/>
      <c r="U40" s="219"/>
      <c r="V40" s="219"/>
      <c r="W40" s="203"/>
      <c r="X40" s="219"/>
      <c r="Y40" s="219"/>
      <c r="Z40" s="203"/>
      <c r="AA40" s="203"/>
      <c r="AB40" s="203"/>
      <c r="AC40" s="218"/>
      <c r="AD40" s="202"/>
      <c r="AE40" s="203"/>
      <c r="AF40" s="218"/>
      <c r="AG40" s="218"/>
      <c r="AH40" s="202"/>
      <c r="AI40" s="202"/>
      <c r="AJ40" s="203"/>
      <c r="AK40" s="202"/>
      <c r="AL40" s="203"/>
      <c r="AM40" s="203"/>
      <c r="AN40" s="202"/>
      <c r="AO40" s="202"/>
      <c r="AP40" s="202"/>
      <c r="AQ40" s="203"/>
      <c r="AR40" s="203"/>
      <c r="AS40" s="203"/>
      <c r="AT40" s="203"/>
      <c r="AU40" s="203"/>
      <c r="AV40" s="202"/>
      <c r="AW40" s="203"/>
      <c r="AX40" s="203"/>
      <c r="AY40" s="202"/>
      <c r="AZ40" s="203"/>
      <c r="BA40" s="203"/>
      <c r="BB40" s="203"/>
      <c r="BC40" s="202"/>
      <c r="BD40" s="202"/>
      <c r="BE40" s="202"/>
      <c r="BF40" s="203"/>
      <c r="BG40" s="203"/>
      <c r="BH40" s="203"/>
      <c r="BI40" s="203"/>
      <c r="BJ40" s="204">
        <v>70000</v>
      </c>
      <c r="BK40" s="220">
        <v>45918</v>
      </c>
      <c r="BL40" s="217" t="s">
        <v>151</v>
      </c>
      <c r="BM40" s="220">
        <v>45927</v>
      </c>
      <c r="BN40" s="217" t="s">
        <v>163</v>
      </c>
      <c r="BO40" s="205">
        <v>0.7857142857142857</v>
      </c>
      <c r="BP40" s="206" t="s">
        <v>115</v>
      </c>
      <c r="BQ40" s="207"/>
      <c r="BR40" s="208">
        <v>16.552026365598611</v>
      </c>
      <c r="BS40" s="208">
        <v>10.68449867898787</v>
      </c>
      <c r="BT40" s="208">
        <v>4.9314280144024742</v>
      </c>
      <c r="BU40" s="208">
        <v>4.5981448106231424</v>
      </c>
      <c r="BV40" s="208">
        <v>0.91566445733104318</v>
      </c>
      <c r="BW40" s="208">
        <v>0.85325584027641443</v>
      </c>
      <c r="BX40" s="209">
        <v>6462.8990008221408</v>
      </c>
      <c r="BY40" s="209">
        <v>6041.0105873047623</v>
      </c>
      <c r="BZ40" s="209">
        <v>5725.125997828738</v>
      </c>
      <c r="CA40" s="221"/>
      <c r="CB40" s="221"/>
      <c r="CC40" s="239">
        <v>-0.489427</v>
      </c>
      <c r="CD40" s="239"/>
      <c r="CE40" s="211"/>
      <c r="CF40" s="211"/>
      <c r="CG40" s="211"/>
      <c r="CH40" s="212"/>
      <c r="CI40" s="222"/>
      <c r="CJ40" s="212"/>
      <c r="CK40" s="250">
        <v>-1.200000000000125</v>
      </c>
      <c r="CL40" s="211"/>
      <c r="CM40" s="211"/>
      <c r="CN40" s="211"/>
      <c r="CO40" s="214"/>
      <c r="CP40" s="211"/>
      <c r="CQ40" s="211"/>
      <c r="CR40" s="211"/>
      <c r="CS40" s="211"/>
    </row>
    <row r="41" spans="1:97" ht="11.25" customHeight="1">
      <c r="A41" s="238">
        <v>38</v>
      </c>
      <c r="B41" s="215">
        <v>17</v>
      </c>
      <c r="C41" s="237">
        <v>45901</v>
      </c>
      <c r="D41" s="238" t="s">
        <v>148</v>
      </c>
      <c r="E41" s="197" t="s">
        <v>98</v>
      </c>
      <c r="F41" s="248" t="s">
        <v>141</v>
      </c>
      <c r="G41" s="248" t="s">
        <v>243</v>
      </c>
      <c r="H41" s="249" t="s">
        <v>244</v>
      </c>
      <c r="I41" s="224" t="s">
        <v>197</v>
      </c>
      <c r="J41" s="216">
        <v>45921</v>
      </c>
      <c r="K41" s="254" t="s">
        <v>160</v>
      </c>
      <c r="L41" s="216">
        <v>45925.051504629628</v>
      </c>
      <c r="M41" s="255" t="s">
        <v>161</v>
      </c>
      <c r="N41" s="216">
        <v>45928.331504629627</v>
      </c>
      <c r="O41" s="255" t="s">
        <v>193</v>
      </c>
      <c r="P41" s="218"/>
      <c r="Q41" s="203"/>
      <c r="R41" s="203"/>
      <c r="S41" s="203"/>
      <c r="T41" s="203"/>
      <c r="U41" s="219"/>
      <c r="V41" s="219"/>
      <c r="W41" s="203"/>
      <c r="X41" s="219"/>
      <c r="Y41" s="219"/>
      <c r="Z41" s="203"/>
      <c r="AA41" s="203"/>
      <c r="AB41" s="203"/>
      <c r="AC41" s="218"/>
      <c r="AD41" s="202"/>
      <c r="AE41" s="203"/>
      <c r="AF41" s="218"/>
      <c r="AG41" s="218"/>
      <c r="AH41" s="202"/>
      <c r="AI41" s="202"/>
      <c r="AJ41" s="203"/>
      <c r="AK41" s="202"/>
      <c r="AL41" s="203"/>
      <c r="AM41" s="203"/>
      <c r="AN41" s="202"/>
      <c r="AO41" s="202"/>
      <c r="AP41" s="202"/>
      <c r="AQ41" s="203"/>
      <c r="AR41" s="203"/>
      <c r="AS41" s="203"/>
      <c r="AT41" s="203"/>
      <c r="AU41" s="203"/>
      <c r="AV41" s="202"/>
      <c r="AW41" s="203"/>
      <c r="AX41" s="203"/>
      <c r="AY41" s="202"/>
      <c r="AZ41" s="203"/>
      <c r="BA41" s="203"/>
      <c r="BB41" s="203"/>
      <c r="BC41" s="202"/>
      <c r="BD41" s="202"/>
      <c r="BE41" s="202"/>
      <c r="BF41" s="203"/>
      <c r="BG41" s="203"/>
      <c r="BH41" s="203"/>
      <c r="BI41" s="203"/>
      <c r="BJ41" s="204">
        <v>82000</v>
      </c>
      <c r="BK41" s="220">
        <v>45921</v>
      </c>
      <c r="BL41" s="217" t="s">
        <v>160</v>
      </c>
      <c r="BM41" s="220">
        <v>45930</v>
      </c>
      <c r="BN41" s="217" t="s">
        <v>177</v>
      </c>
      <c r="BO41" s="205">
        <v>0.54268292682926833</v>
      </c>
      <c r="BP41" s="206" t="s">
        <v>115</v>
      </c>
      <c r="BQ41" s="207"/>
      <c r="BR41" s="208">
        <v>14.167560419143671</v>
      </c>
      <c r="BS41" s="208">
        <v>8.0155087027425331</v>
      </c>
      <c r="BT41" s="208">
        <v>6.0877204466320372</v>
      </c>
      <c r="BU41" s="208">
        <v>5.6730434935337479</v>
      </c>
      <c r="BV41" s="208">
        <v>0.92620088584428562</v>
      </c>
      <c r="BW41" s="208">
        <v>0.86331471749642297</v>
      </c>
      <c r="BX41" s="209">
        <v>6676.7358369403346</v>
      </c>
      <c r="BY41" s="209">
        <v>6230.6531809978833</v>
      </c>
      <c r="BZ41" s="209">
        <v>5927.0716077922871</v>
      </c>
      <c r="CA41" s="221"/>
      <c r="CB41" s="221"/>
      <c r="CC41" s="239">
        <v>1.59699604743083</v>
      </c>
      <c r="CD41" s="239"/>
      <c r="CE41" s="211"/>
      <c r="CF41" s="211"/>
      <c r="CG41" s="211"/>
      <c r="CH41" s="212"/>
      <c r="CI41" s="222"/>
      <c r="CJ41" s="212"/>
      <c r="CK41" s="250">
        <v>-0.77959857723510273</v>
      </c>
      <c r="CL41" s="211"/>
      <c r="CM41" s="211"/>
      <c r="CN41" s="211"/>
      <c r="CO41" s="214"/>
      <c r="CP41" s="211"/>
      <c r="CQ41" s="211"/>
      <c r="CR41" s="211"/>
      <c r="CS41" s="211"/>
    </row>
    <row r="42" spans="1:97" ht="11.25" customHeight="1">
      <c r="A42" s="238">
        <v>39</v>
      </c>
      <c r="B42" s="215">
        <v>18</v>
      </c>
      <c r="C42" s="237">
        <v>45901</v>
      </c>
      <c r="D42" s="238" t="s">
        <v>133</v>
      </c>
      <c r="E42" s="197" t="s">
        <v>98</v>
      </c>
      <c r="F42" s="248" t="s">
        <v>245</v>
      </c>
      <c r="G42" s="248" t="s">
        <v>246</v>
      </c>
      <c r="H42" s="249" t="s">
        <v>247</v>
      </c>
      <c r="I42" s="224" t="s">
        <v>197</v>
      </c>
      <c r="J42" s="216">
        <v>45920</v>
      </c>
      <c r="K42" s="254" t="s">
        <v>144</v>
      </c>
      <c r="L42" s="216">
        <v>45927.165706018517</v>
      </c>
      <c r="M42" s="255" t="s">
        <v>163</v>
      </c>
      <c r="N42" s="216">
        <v>45929.885706018518</v>
      </c>
      <c r="O42" s="255" t="s">
        <v>173</v>
      </c>
      <c r="P42" s="218"/>
      <c r="Q42" s="203"/>
      <c r="R42" s="203"/>
      <c r="S42" s="203"/>
      <c r="T42" s="203"/>
      <c r="U42" s="219"/>
      <c r="V42" s="219"/>
      <c r="W42" s="203"/>
      <c r="X42" s="219"/>
      <c r="Y42" s="219"/>
      <c r="Z42" s="203"/>
      <c r="AA42" s="203"/>
      <c r="AB42" s="203"/>
      <c r="AC42" s="218"/>
      <c r="AD42" s="202"/>
      <c r="AE42" s="203"/>
      <c r="AF42" s="218"/>
      <c r="AG42" s="218"/>
      <c r="AH42" s="202"/>
      <c r="AI42" s="202"/>
      <c r="AJ42" s="203"/>
      <c r="AK42" s="202"/>
      <c r="AL42" s="203"/>
      <c r="AM42" s="203"/>
      <c r="AN42" s="202"/>
      <c r="AO42" s="202"/>
      <c r="AP42" s="202"/>
      <c r="AQ42" s="203"/>
      <c r="AR42" s="203"/>
      <c r="AS42" s="203"/>
      <c r="AT42" s="203"/>
      <c r="AU42" s="203"/>
      <c r="AV42" s="202"/>
      <c r="AW42" s="203"/>
      <c r="AX42" s="203"/>
      <c r="AY42" s="202"/>
      <c r="AZ42" s="203"/>
      <c r="BA42" s="203"/>
      <c r="BB42" s="203"/>
      <c r="BC42" s="202"/>
      <c r="BD42" s="202"/>
      <c r="BE42" s="202"/>
      <c r="BF42" s="203"/>
      <c r="BG42" s="203"/>
      <c r="BH42" s="203"/>
      <c r="BI42" s="203"/>
      <c r="BJ42" s="204">
        <v>68000</v>
      </c>
      <c r="BK42" s="220">
        <v>45915</v>
      </c>
      <c r="BL42" s="217" t="s">
        <v>137</v>
      </c>
      <c r="BM42" s="220">
        <v>45924</v>
      </c>
      <c r="BN42" s="217" t="s">
        <v>154</v>
      </c>
      <c r="BO42" s="205">
        <v>0.88970588235294112</v>
      </c>
      <c r="BP42" s="206" t="s">
        <v>115</v>
      </c>
      <c r="BQ42" s="207"/>
      <c r="BR42" s="208">
        <v>17.339358760929681</v>
      </c>
      <c r="BS42" s="208">
        <v>11.43344875715462</v>
      </c>
      <c r="BT42" s="208">
        <v>6.4163563060724327</v>
      </c>
      <c r="BU42" s="208">
        <v>5.9852784103345984</v>
      </c>
      <c r="BV42" s="208">
        <v>1.416803852914158</v>
      </c>
      <c r="BW42" s="208">
        <v>1.3273936157284429</v>
      </c>
      <c r="BX42" s="209">
        <v>6279.1581863980064</v>
      </c>
      <c r="BY42" s="209">
        <v>5861.884322941276</v>
      </c>
      <c r="BZ42" s="209">
        <v>5560.4698702864553</v>
      </c>
      <c r="CA42" s="221"/>
      <c r="CB42" s="221"/>
      <c r="CC42" s="239">
        <v>-2.9729206349206301</v>
      </c>
      <c r="CD42" s="239"/>
      <c r="CE42" s="211"/>
      <c r="CF42" s="211"/>
      <c r="CG42" s="211"/>
      <c r="CH42" s="212"/>
      <c r="CI42" s="222"/>
      <c r="CJ42" s="212"/>
      <c r="CK42" s="250">
        <v>-2.1139110336668541</v>
      </c>
      <c r="CL42" s="211"/>
      <c r="CM42" s="211"/>
      <c r="CN42" s="211"/>
      <c r="CO42" s="214"/>
      <c r="CP42" s="211"/>
      <c r="CQ42" s="211"/>
      <c r="CR42" s="211"/>
      <c r="CS42" s="211"/>
    </row>
    <row r="43" spans="1:97" ht="11.25" customHeight="1">
      <c r="A43" s="290">
        <v>40</v>
      </c>
      <c r="B43" s="291">
        <v>19</v>
      </c>
      <c r="C43" s="292">
        <v>45901</v>
      </c>
      <c r="D43" s="290" t="s">
        <v>133</v>
      </c>
      <c r="E43" s="293" t="s">
        <v>98</v>
      </c>
      <c r="F43" s="294" t="s">
        <v>141</v>
      </c>
      <c r="G43" s="294" t="s">
        <v>248</v>
      </c>
      <c r="H43" s="295" t="s">
        <v>249</v>
      </c>
      <c r="I43" s="296" t="s">
        <v>197</v>
      </c>
      <c r="J43" s="297">
        <v>45920</v>
      </c>
      <c r="K43" s="298" t="s">
        <v>144</v>
      </c>
      <c r="L43" s="297">
        <v>45927.291666666657</v>
      </c>
      <c r="M43" s="299" t="s">
        <v>163</v>
      </c>
      <c r="N43" s="297">
        <v>45930.958333333343</v>
      </c>
      <c r="O43" s="299" t="s">
        <v>177</v>
      </c>
      <c r="P43" s="300"/>
      <c r="Q43" s="301"/>
      <c r="R43" s="301"/>
      <c r="S43" s="301"/>
      <c r="T43" s="301"/>
      <c r="U43" s="302"/>
      <c r="V43" s="302"/>
      <c r="W43" s="301"/>
      <c r="X43" s="302"/>
      <c r="Y43" s="302"/>
      <c r="Z43" s="301"/>
      <c r="AA43" s="301"/>
      <c r="AB43" s="301"/>
      <c r="AC43" s="300"/>
      <c r="AD43" s="303"/>
      <c r="AE43" s="301"/>
      <c r="AF43" s="300"/>
      <c r="AG43" s="300"/>
      <c r="AH43" s="303"/>
      <c r="AI43" s="303"/>
      <c r="AJ43" s="301"/>
      <c r="AK43" s="303"/>
      <c r="AL43" s="301"/>
      <c r="AM43" s="301"/>
      <c r="AN43" s="303"/>
      <c r="AO43" s="303"/>
      <c r="AP43" s="303"/>
      <c r="AQ43" s="301"/>
      <c r="AR43" s="301"/>
      <c r="AS43" s="301"/>
      <c r="AT43" s="301"/>
      <c r="AU43" s="301"/>
      <c r="AV43" s="303"/>
      <c r="AW43" s="301"/>
      <c r="AX43" s="301"/>
      <c r="AY43" s="303"/>
      <c r="AZ43" s="301"/>
      <c r="BA43" s="301"/>
      <c r="BB43" s="301"/>
      <c r="BC43" s="303"/>
      <c r="BD43" s="303"/>
      <c r="BE43" s="303"/>
      <c r="BF43" s="301"/>
      <c r="BG43" s="301"/>
      <c r="BH43" s="301"/>
      <c r="BI43" s="301"/>
      <c r="BJ43" s="304">
        <v>55000</v>
      </c>
      <c r="BK43" s="305">
        <v>45920</v>
      </c>
      <c r="BL43" s="306" t="s">
        <v>144</v>
      </c>
      <c r="BM43" s="305">
        <v>45929</v>
      </c>
      <c r="BN43" s="306" t="s">
        <v>173</v>
      </c>
      <c r="BO43" s="307">
        <v>0.63090909090909086</v>
      </c>
      <c r="BP43" s="308" t="s">
        <v>115</v>
      </c>
      <c r="BQ43" s="309"/>
      <c r="BR43" s="310">
        <v>18.582778847993509</v>
      </c>
      <c r="BS43" s="310">
        <v>11.424959354939849</v>
      </c>
      <c r="BT43" s="310">
        <v>5.4948692008410287</v>
      </c>
      <c r="BU43" s="310">
        <v>5.019814092068418</v>
      </c>
      <c r="BV43" s="310">
        <v>0.97549670130340471</v>
      </c>
      <c r="BW43" s="310">
        <v>0.89995501128479938</v>
      </c>
      <c r="BX43" s="311">
        <v>6307.2111483675562</v>
      </c>
      <c r="BY43" s="311">
        <v>5809.045674873646</v>
      </c>
      <c r="BZ43" s="311">
        <v>5487.5118972619657</v>
      </c>
      <c r="CA43" s="312"/>
      <c r="CB43" s="312"/>
      <c r="CC43" s="313">
        <v>1.5270777591973199</v>
      </c>
      <c r="CD43" s="313"/>
      <c r="CE43" s="314"/>
      <c r="CF43" s="314"/>
      <c r="CG43" s="314"/>
      <c r="CH43" s="315"/>
      <c r="CI43" s="316"/>
      <c r="CJ43" s="315"/>
      <c r="CK43" s="317">
        <v>-2.222727272725685</v>
      </c>
      <c r="CL43" s="314"/>
      <c r="CM43" s="314"/>
      <c r="CN43" s="314"/>
      <c r="CO43" s="318"/>
      <c r="CP43" s="314"/>
      <c r="CQ43" s="314"/>
      <c r="CR43" s="314"/>
      <c r="CS43" s="314"/>
    </row>
    <row r="44" spans="1:97" ht="11.25" customHeight="1">
      <c r="A44" s="290">
        <v>41</v>
      </c>
      <c r="B44" s="291">
        <v>20</v>
      </c>
      <c r="C44" s="292">
        <v>45901</v>
      </c>
      <c r="D44" s="290" t="s">
        <v>26</v>
      </c>
      <c r="E44" s="293" t="s">
        <v>179</v>
      </c>
      <c r="F44" s="294" t="s">
        <v>250</v>
      </c>
      <c r="G44" s="294" t="s">
        <v>251</v>
      </c>
      <c r="H44" s="295" t="s">
        <v>252</v>
      </c>
      <c r="I44" s="296" t="s">
        <v>253</v>
      </c>
      <c r="J44" s="297">
        <v>45899.166666666657</v>
      </c>
      <c r="K44" s="298" t="s">
        <v>103</v>
      </c>
      <c r="L44" s="297">
        <v>45900.916666666657</v>
      </c>
      <c r="M44" s="299" t="s">
        <v>104</v>
      </c>
      <c r="N44" s="297">
        <v>45901.545138888891</v>
      </c>
      <c r="O44" s="299" t="s">
        <v>105</v>
      </c>
      <c r="P44" s="300"/>
      <c r="Q44" s="301"/>
      <c r="R44" s="301"/>
      <c r="S44" s="301"/>
      <c r="T44" s="301"/>
      <c r="U44" s="302"/>
      <c r="V44" s="302"/>
      <c r="W44" s="301"/>
      <c r="X44" s="302"/>
      <c r="Y44" s="302"/>
      <c r="Z44" s="301"/>
      <c r="AA44" s="301"/>
      <c r="AB44" s="301"/>
      <c r="AC44" s="300"/>
      <c r="AD44" s="303"/>
      <c r="AE44" s="301"/>
      <c r="AF44" s="300"/>
      <c r="AG44" s="300"/>
      <c r="AH44" s="303"/>
      <c r="AI44" s="303"/>
      <c r="AJ44" s="301"/>
      <c r="AK44" s="303"/>
      <c r="AL44" s="301"/>
      <c r="AM44" s="301"/>
      <c r="AN44" s="303"/>
      <c r="AO44" s="303"/>
      <c r="AP44" s="303"/>
      <c r="AQ44" s="301"/>
      <c r="AR44" s="301"/>
      <c r="AS44" s="301"/>
      <c r="AT44" s="301"/>
      <c r="AU44" s="301"/>
      <c r="AV44" s="303"/>
      <c r="AW44" s="301"/>
      <c r="AX44" s="301"/>
      <c r="AY44" s="303"/>
      <c r="AZ44" s="301"/>
      <c r="BA44" s="301"/>
      <c r="BB44" s="301"/>
      <c r="BC44" s="303"/>
      <c r="BD44" s="303"/>
      <c r="BE44" s="303"/>
      <c r="BF44" s="301"/>
      <c r="BG44" s="301"/>
      <c r="BH44" s="301"/>
      <c r="BI44" s="301"/>
      <c r="BJ44" s="304">
        <v>7502.83</v>
      </c>
      <c r="BK44" s="305"/>
      <c r="BL44" s="306"/>
      <c r="BM44" s="305"/>
      <c r="BN44" s="306"/>
      <c r="BO44" s="307">
        <v>1</v>
      </c>
      <c r="BP44" s="308" t="s">
        <v>108</v>
      </c>
      <c r="BQ44" s="309"/>
      <c r="BR44" s="310">
        <v>40.099840771331998</v>
      </c>
      <c r="BS44" s="310">
        <v>18.183096203780721</v>
      </c>
      <c r="BT44" s="310">
        <v>10.416917607435501</v>
      </c>
      <c r="BU44" s="310">
        <v>7.6264805242622167</v>
      </c>
      <c r="BV44" s="310">
        <v>0.18110633695464079</v>
      </c>
      <c r="BW44" s="310">
        <v>0.1325923851619166</v>
      </c>
      <c r="BX44" s="311">
        <v>4884.3389589984508</v>
      </c>
      <c r="BY44" s="311">
        <v>3575.9441850733219</v>
      </c>
      <c r="BZ44" s="311">
        <v>3210.4969765346941</v>
      </c>
      <c r="CA44" s="312"/>
      <c r="CB44" s="312"/>
      <c r="CC44" s="313">
        <v>-3.5969960474308298</v>
      </c>
      <c r="CD44" s="313"/>
      <c r="CE44" s="314"/>
      <c r="CF44" s="314"/>
      <c r="CG44" s="314"/>
      <c r="CH44" s="315"/>
      <c r="CI44" s="316"/>
      <c r="CJ44" s="315"/>
      <c r="CK44" s="317">
        <v>-1.503684905863873E-12</v>
      </c>
      <c r="CL44" s="314"/>
      <c r="CM44" s="314"/>
      <c r="CN44" s="314"/>
      <c r="CO44" s="318"/>
      <c r="CP44" s="314"/>
      <c r="CQ44" s="314"/>
      <c r="CR44" s="314"/>
      <c r="CS44" s="314"/>
    </row>
    <row r="45" spans="1:97" ht="11.25" customHeight="1">
      <c r="A45" s="290">
        <v>42</v>
      </c>
      <c r="B45" s="291">
        <v>21</v>
      </c>
      <c r="C45" s="292">
        <v>45901</v>
      </c>
      <c r="D45" s="290" t="s">
        <v>26</v>
      </c>
      <c r="E45" s="293" t="s">
        <v>179</v>
      </c>
      <c r="F45" s="294" t="s">
        <v>186</v>
      </c>
      <c r="G45" s="294" t="s">
        <v>251</v>
      </c>
      <c r="H45" s="295" t="s">
        <v>254</v>
      </c>
      <c r="I45" s="296" t="s">
        <v>253</v>
      </c>
      <c r="J45" s="297">
        <v>45907</v>
      </c>
      <c r="K45" s="298" t="s">
        <v>119</v>
      </c>
      <c r="L45" s="297">
        <v>45907.041666666657</v>
      </c>
      <c r="M45" s="299" t="s">
        <v>119</v>
      </c>
      <c r="N45" s="297">
        <v>45907.791666666657</v>
      </c>
      <c r="O45" s="299" t="s">
        <v>119</v>
      </c>
      <c r="P45" s="300"/>
      <c r="Q45" s="301"/>
      <c r="R45" s="301"/>
      <c r="S45" s="301"/>
      <c r="T45" s="301"/>
      <c r="U45" s="302"/>
      <c r="V45" s="302"/>
      <c r="W45" s="301"/>
      <c r="X45" s="302"/>
      <c r="Y45" s="302"/>
      <c r="Z45" s="301"/>
      <c r="AA45" s="301"/>
      <c r="AB45" s="301"/>
      <c r="AC45" s="300"/>
      <c r="AD45" s="303"/>
      <c r="AE45" s="301"/>
      <c r="AF45" s="300"/>
      <c r="AG45" s="300"/>
      <c r="AH45" s="303"/>
      <c r="AI45" s="303"/>
      <c r="AJ45" s="301"/>
      <c r="AK45" s="303"/>
      <c r="AL45" s="301"/>
      <c r="AM45" s="301"/>
      <c r="AN45" s="303"/>
      <c r="AO45" s="303"/>
      <c r="AP45" s="303"/>
      <c r="AQ45" s="301"/>
      <c r="AR45" s="301"/>
      <c r="AS45" s="301"/>
      <c r="AT45" s="301"/>
      <c r="AU45" s="301"/>
      <c r="AV45" s="303"/>
      <c r="AW45" s="301"/>
      <c r="AX45" s="301"/>
      <c r="AY45" s="303"/>
      <c r="AZ45" s="301"/>
      <c r="BA45" s="301"/>
      <c r="BB45" s="301"/>
      <c r="BC45" s="303"/>
      <c r="BD45" s="303"/>
      <c r="BE45" s="303"/>
      <c r="BF45" s="301"/>
      <c r="BG45" s="301"/>
      <c r="BH45" s="301"/>
      <c r="BI45" s="301"/>
      <c r="BJ45" s="304">
        <v>7500</v>
      </c>
      <c r="BK45" s="305"/>
      <c r="BL45" s="306"/>
      <c r="BM45" s="305"/>
      <c r="BN45" s="306"/>
      <c r="BO45" s="307">
        <v>1</v>
      </c>
      <c r="BP45" s="308" t="s">
        <v>115</v>
      </c>
      <c r="BQ45" s="309"/>
      <c r="BR45" s="310">
        <v>40.099840771331998</v>
      </c>
      <c r="BS45" s="310">
        <v>18.183096203780721</v>
      </c>
      <c r="BT45" s="310">
        <v>10.416917607435501</v>
      </c>
      <c r="BU45" s="310">
        <v>7.6264805242622167</v>
      </c>
      <c r="BV45" s="310">
        <v>0.18110633695464079</v>
      </c>
      <c r="BW45" s="310">
        <v>0.1325923851619166</v>
      </c>
      <c r="BX45" s="311">
        <v>4884.3389589984508</v>
      </c>
      <c r="BY45" s="311">
        <v>3575.9441850733219</v>
      </c>
      <c r="BZ45" s="311">
        <v>3210.4969765346941</v>
      </c>
      <c r="CA45" s="312"/>
      <c r="CB45" s="312"/>
      <c r="CC45" s="313">
        <v>-3.5969960474308298</v>
      </c>
      <c r="CD45" s="313"/>
      <c r="CE45" s="314"/>
      <c r="CF45" s="314"/>
      <c r="CG45" s="314"/>
      <c r="CH45" s="315"/>
      <c r="CI45" s="316"/>
      <c r="CJ45" s="315"/>
      <c r="CK45" s="317">
        <v>6.1111111112404619E-13</v>
      </c>
      <c r="CL45" s="314"/>
      <c r="CM45" s="314"/>
      <c r="CN45" s="314"/>
      <c r="CO45" s="318"/>
      <c r="CP45" s="314"/>
      <c r="CQ45" s="314"/>
      <c r="CR45" s="314"/>
      <c r="CS45" s="314"/>
    </row>
    <row r="46" spans="1:97" ht="11.25" customHeight="1">
      <c r="A46" s="290">
        <v>43</v>
      </c>
      <c r="B46" s="291">
        <v>22</v>
      </c>
      <c r="C46" s="292">
        <v>45901</v>
      </c>
      <c r="D46" s="290" t="s">
        <v>26</v>
      </c>
      <c r="E46" s="293" t="s">
        <v>179</v>
      </c>
      <c r="F46" s="294" t="s">
        <v>186</v>
      </c>
      <c r="G46" s="294" t="s">
        <v>251</v>
      </c>
      <c r="H46" s="295" t="s">
        <v>255</v>
      </c>
      <c r="I46" s="296" t="s">
        <v>253</v>
      </c>
      <c r="J46" s="297">
        <v>45909</v>
      </c>
      <c r="K46" s="298" t="s">
        <v>130</v>
      </c>
      <c r="L46" s="297">
        <v>45909.041666666657</v>
      </c>
      <c r="M46" s="299" t="s">
        <v>130</v>
      </c>
      <c r="N46" s="297">
        <v>45909.791666666657</v>
      </c>
      <c r="O46" s="299" t="s">
        <v>130</v>
      </c>
      <c r="P46" s="300"/>
      <c r="Q46" s="301"/>
      <c r="R46" s="301"/>
      <c r="S46" s="301"/>
      <c r="T46" s="301"/>
      <c r="U46" s="302"/>
      <c r="V46" s="302"/>
      <c r="W46" s="301"/>
      <c r="X46" s="302"/>
      <c r="Y46" s="302"/>
      <c r="Z46" s="301"/>
      <c r="AA46" s="301"/>
      <c r="AB46" s="301"/>
      <c r="AC46" s="300"/>
      <c r="AD46" s="303"/>
      <c r="AE46" s="301"/>
      <c r="AF46" s="300"/>
      <c r="AG46" s="300"/>
      <c r="AH46" s="303"/>
      <c r="AI46" s="303"/>
      <c r="AJ46" s="301"/>
      <c r="AK46" s="303"/>
      <c r="AL46" s="301"/>
      <c r="AM46" s="301"/>
      <c r="AN46" s="303"/>
      <c r="AO46" s="303"/>
      <c r="AP46" s="303"/>
      <c r="AQ46" s="301"/>
      <c r="AR46" s="301"/>
      <c r="AS46" s="301"/>
      <c r="AT46" s="301"/>
      <c r="AU46" s="301"/>
      <c r="AV46" s="303"/>
      <c r="AW46" s="301"/>
      <c r="AX46" s="301"/>
      <c r="AY46" s="303"/>
      <c r="AZ46" s="301"/>
      <c r="BA46" s="301"/>
      <c r="BB46" s="301"/>
      <c r="BC46" s="303"/>
      <c r="BD46" s="303"/>
      <c r="BE46" s="303"/>
      <c r="BF46" s="301"/>
      <c r="BG46" s="301"/>
      <c r="BH46" s="301"/>
      <c r="BI46" s="301"/>
      <c r="BJ46" s="304">
        <v>7500</v>
      </c>
      <c r="BK46" s="305"/>
      <c r="BL46" s="306"/>
      <c r="BM46" s="305"/>
      <c r="BN46" s="306"/>
      <c r="BO46" s="307">
        <v>1</v>
      </c>
      <c r="BP46" s="308" t="s">
        <v>115</v>
      </c>
      <c r="BQ46" s="309"/>
      <c r="BR46" s="310">
        <v>40.099840771331998</v>
      </c>
      <c r="BS46" s="310">
        <v>18.183096203780721</v>
      </c>
      <c r="BT46" s="310">
        <v>10.416917607435501</v>
      </c>
      <c r="BU46" s="310">
        <v>7.6264805242622167</v>
      </c>
      <c r="BV46" s="310">
        <v>0.18110633695464079</v>
      </c>
      <c r="BW46" s="310">
        <v>0.1325923851619166</v>
      </c>
      <c r="BX46" s="311">
        <v>4884.3389589984508</v>
      </c>
      <c r="BY46" s="311">
        <v>3575.9441850733219</v>
      </c>
      <c r="BZ46" s="311">
        <v>3210.4969765346941</v>
      </c>
      <c r="CA46" s="312"/>
      <c r="CB46" s="312"/>
      <c r="CC46" s="313">
        <v>-3.5969960474308298</v>
      </c>
      <c r="CD46" s="313"/>
      <c r="CE46" s="314"/>
      <c r="CF46" s="314"/>
      <c r="CG46" s="314"/>
      <c r="CH46" s="315"/>
      <c r="CI46" s="316"/>
      <c r="CJ46" s="315"/>
      <c r="CK46" s="317">
        <v>6.1111111112404619E-13</v>
      </c>
      <c r="CL46" s="314"/>
      <c r="CM46" s="314"/>
      <c r="CN46" s="314"/>
      <c r="CO46" s="318"/>
      <c r="CP46" s="314"/>
      <c r="CQ46" s="314"/>
      <c r="CR46" s="314"/>
      <c r="CS46" s="314"/>
    </row>
    <row r="47" spans="1:97" ht="11.25" customHeight="1">
      <c r="A47" s="290">
        <v>44</v>
      </c>
      <c r="B47" s="291">
        <v>23</v>
      </c>
      <c r="C47" s="292">
        <v>45901</v>
      </c>
      <c r="D47" s="290" t="s">
        <v>26</v>
      </c>
      <c r="E47" s="293" t="s">
        <v>179</v>
      </c>
      <c r="F47" s="294" t="s">
        <v>186</v>
      </c>
      <c r="G47" s="294" t="s">
        <v>251</v>
      </c>
      <c r="H47" s="295" t="s">
        <v>256</v>
      </c>
      <c r="I47" s="296" t="s">
        <v>253</v>
      </c>
      <c r="J47" s="297">
        <v>45911</v>
      </c>
      <c r="K47" s="298" t="s">
        <v>131</v>
      </c>
      <c r="L47" s="297">
        <v>45911.041666666657</v>
      </c>
      <c r="M47" s="299" t="s">
        <v>131</v>
      </c>
      <c r="N47" s="297">
        <v>45911.791666666657</v>
      </c>
      <c r="O47" s="299" t="s">
        <v>131</v>
      </c>
      <c r="P47" s="300"/>
      <c r="Q47" s="301"/>
      <c r="R47" s="301"/>
      <c r="S47" s="301"/>
      <c r="T47" s="301"/>
      <c r="U47" s="302"/>
      <c r="V47" s="302"/>
      <c r="W47" s="301"/>
      <c r="X47" s="302"/>
      <c r="Y47" s="302"/>
      <c r="Z47" s="301"/>
      <c r="AA47" s="301"/>
      <c r="AB47" s="301"/>
      <c r="AC47" s="300"/>
      <c r="AD47" s="303"/>
      <c r="AE47" s="301"/>
      <c r="AF47" s="300"/>
      <c r="AG47" s="300"/>
      <c r="AH47" s="303"/>
      <c r="AI47" s="303"/>
      <c r="AJ47" s="301"/>
      <c r="AK47" s="303"/>
      <c r="AL47" s="301"/>
      <c r="AM47" s="301"/>
      <c r="AN47" s="303"/>
      <c r="AO47" s="303"/>
      <c r="AP47" s="303"/>
      <c r="AQ47" s="301"/>
      <c r="AR47" s="301"/>
      <c r="AS47" s="301"/>
      <c r="AT47" s="301"/>
      <c r="AU47" s="301"/>
      <c r="AV47" s="303"/>
      <c r="AW47" s="301"/>
      <c r="AX47" s="301"/>
      <c r="AY47" s="303"/>
      <c r="AZ47" s="301"/>
      <c r="BA47" s="301"/>
      <c r="BB47" s="301"/>
      <c r="BC47" s="303"/>
      <c r="BD47" s="303"/>
      <c r="BE47" s="303"/>
      <c r="BF47" s="301"/>
      <c r="BG47" s="301"/>
      <c r="BH47" s="301"/>
      <c r="BI47" s="301"/>
      <c r="BJ47" s="304">
        <v>7500</v>
      </c>
      <c r="BK47" s="305"/>
      <c r="BL47" s="306"/>
      <c r="BM47" s="305"/>
      <c r="BN47" s="306"/>
      <c r="BO47" s="307">
        <v>1</v>
      </c>
      <c r="BP47" s="308" t="s">
        <v>115</v>
      </c>
      <c r="BQ47" s="309"/>
      <c r="BR47" s="310">
        <v>40.099840771331998</v>
      </c>
      <c r="BS47" s="310">
        <v>18.183096203780721</v>
      </c>
      <c r="BT47" s="310">
        <v>10.416917607435501</v>
      </c>
      <c r="BU47" s="310">
        <v>7.6264805242622167</v>
      </c>
      <c r="BV47" s="310">
        <v>0.18110633695464079</v>
      </c>
      <c r="BW47" s="310">
        <v>0.1325923851619166</v>
      </c>
      <c r="BX47" s="311">
        <v>4884.3389589984508</v>
      </c>
      <c r="BY47" s="311">
        <v>3575.9441850733219</v>
      </c>
      <c r="BZ47" s="311">
        <v>3210.4969765346941</v>
      </c>
      <c r="CA47" s="312"/>
      <c r="CB47" s="312"/>
      <c r="CC47" s="313">
        <v>-3.5969960474308298</v>
      </c>
      <c r="CD47" s="313"/>
      <c r="CE47" s="314"/>
      <c r="CF47" s="314"/>
      <c r="CG47" s="314"/>
      <c r="CH47" s="315"/>
      <c r="CI47" s="316"/>
      <c r="CJ47" s="315"/>
      <c r="CK47" s="317">
        <v>6.1111111112404619E-13</v>
      </c>
      <c r="CL47" s="314"/>
      <c r="CM47" s="314"/>
      <c r="CN47" s="314"/>
      <c r="CO47" s="318"/>
      <c r="CP47" s="314"/>
      <c r="CQ47" s="314"/>
      <c r="CR47" s="314"/>
      <c r="CS47" s="314"/>
    </row>
    <row r="48" spans="1:97" ht="11.25" customHeight="1">
      <c r="A48" s="290">
        <v>45</v>
      </c>
      <c r="B48" s="291">
        <v>24</v>
      </c>
      <c r="C48" s="292">
        <v>45901</v>
      </c>
      <c r="D48" s="290" t="s">
        <v>26</v>
      </c>
      <c r="E48" s="293" t="s">
        <v>179</v>
      </c>
      <c r="F48" s="294" t="s">
        <v>186</v>
      </c>
      <c r="G48" s="294" t="s">
        <v>251</v>
      </c>
      <c r="H48" s="295" t="s">
        <v>257</v>
      </c>
      <c r="I48" s="296" t="s">
        <v>253</v>
      </c>
      <c r="J48" s="297">
        <v>45913</v>
      </c>
      <c r="K48" s="298" t="s">
        <v>114</v>
      </c>
      <c r="L48" s="297">
        <v>45913.041666666657</v>
      </c>
      <c r="M48" s="299" t="s">
        <v>114</v>
      </c>
      <c r="N48" s="297">
        <v>45913.791666666657</v>
      </c>
      <c r="O48" s="299" t="s">
        <v>114</v>
      </c>
      <c r="P48" s="300"/>
      <c r="Q48" s="301"/>
      <c r="R48" s="301"/>
      <c r="S48" s="301"/>
      <c r="T48" s="301"/>
      <c r="U48" s="302"/>
      <c r="V48" s="302"/>
      <c r="W48" s="301"/>
      <c r="X48" s="302"/>
      <c r="Y48" s="302"/>
      <c r="Z48" s="301"/>
      <c r="AA48" s="301"/>
      <c r="AB48" s="301"/>
      <c r="AC48" s="300"/>
      <c r="AD48" s="303"/>
      <c r="AE48" s="301"/>
      <c r="AF48" s="300"/>
      <c r="AG48" s="300"/>
      <c r="AH48" s="303"/>
      <c r="AI48" s="303"/>
      <c r="AJ48" s="301"/>
      <c r="AK48" s="303"/>
      <c r="AL48" s="301"/>
      <c r="AM48" s="301"/>
      <c r="AN48" s="303"/>
      <c r="AO48" s="303"/>
      <c r="AP48" s="303"/>
      <c r="AQ48" s="301"/>
      <c r="AR48" s="301"/>
      <c r="AS48" s="301"/>
      <c r="AT48" s="301"/>
      <c r="AU48" s="301"/>
      <c r="AV48" s="303"/>
      <c r="AW48" s="301"/>
      <c r="AX48" s="301"/>
      <c r="AY48" s="303"/>
      <c r="AZ48" s="301"/>
      <c r="BA48" s="301"/>
      <c r="BB48" s="301"/>
      <c r="BC48" s="303"/>
      <c r="BD48" s="303"/>
      <c r="BE48" s="303"/>
      <c r="BF48" s="301"/>
      <c r="BG48" s="301"/>
      <c r="BH48" s="301"/>
      <c r="BI48" s="301"/>
      <c r="BJ48" s="304">
        <v>7500</v>
      </c>
      <c r="BK48" s="305"/>
      <c r="BL48" s="306"/>
      <c r="BM48" s="305"/>
      <c r="BN48" s="306"/>
      <c r="BO48" s="307">
        <v>1</v>
      </c>
      <c r="BP48" s="308" t="s">
        <v>115</v>
      </c>
      <c r="BQ48" s="309"/>
      <c r="BR48" s="310">
        <v>40.099840771331998</v>
      </c>
      <c r="BS48" s="310">
        <v>18.183096203780721</v>
      </c>
      <c r="BT48" s="310">
        <v>10.416917607435501</v>
      </c>
      <c r="BU48" s="310">
        <v>7.6264805242622167</v>
      </c>
      <c r="BV48" s="310">
        <v>0.18110633695464079</v>
      </c>
      <c r="BW48" s="310">
        <v>0.1325923851619166</v>
      </c>
      <c r="BX48" s="311">
        <v>4884.3389589984508</v>
      </c>
      <c r="BY48" s="311">
        <v>3575.9441850733219</v>
      </c>
      <c r="BZ48" s="311">
        <v>3210.4969765346941</v>
      </c>
      <c r="CA48" s="312"/>
      <c r="CB48" s="312"/>
      <c r="CC48" s="313">
        <v>-3.5969960474308298</v>
      </c>
      <c r="CD48" s="313"/>
      <c r="CE48" s="314"/>
      <c r="CF48" s="314"/>
      <c r="CG48" s="314"/>
      <c r="CH48" s="315"/>
      <c r="CI48" s="316"/>
      <c r="CJ48" s="315"/>
      <c r="CK48" s="317">
        <v>6.1111111112404619E-13</v>
      </c>
      <c r="CL48" s="314"/>
      <c r="CM48" s="314"/>
      <c r="CN48" s="314"/>
      <c r="CO48" s="318"/>
      <c r="CP48" s="314"/>
      <c r="CQ48" s="314"/>
      <c r="CR48" s="314"/>
      <c r="CS48" s="314"/>
    </row>
    <row r="49" spans="1:97" ht="11.25" customHeight="1">
      <c r="A49" s="290">
        <v>46</v>
      </c>
      <c r="B49" s="291">
        <v>25</v>
      </c>
      <c r="C49" s="292">
        <v>45901</v>
      </c>
      <c r="D49" s="290" t="s">
        <v>26</v>
      </c>
      <c r="E49" s="293" t="s">
        <v>179</v>
      </c>
      <c r="F49" s="294" t="s">
        <v>186</v>
      </c>
      <c r="G49" s="294" t="s">
        <v>251</v>
      </c>
      <c r="H49" s="295" t="s">
        <v>258</v>
      </c>
      <c r="I49" s="296" t="s">
        <v>253</v>
      </c>
      <c r="J49" s="297">
        <v>45915</v>
      </c>
      <c r="K49" s="298" t="s">
        <v>137</v>
      </c>
      <c r="L49" s="297">
        <v>45920</v>
      </c>
      <c r="M49" s="299" t="s">
        <v>144</v>
      </c>
      <c r="N49" s="297">
        <v>45920.75</v>
      </c>
      <c r="O49" s="299" t="s">
        <v>144</v>
      </c>
      <c r="P49" s="300"/>
      <c r="Q49" s="301"/>
      <c r="R49" s="301"/>
      <c r="S49" s="301"/>
      <c r="T49" s="301"/>
      <c r="U49" s="302"/>
      <c r="V49" s="302"/>
      <c r="W49" s="301"/>
      <c r="X49" s="302"/>
      <c r="Y49" s="302"/>
      <c r="Z49" s="301"/>
      <c r="AA49" s="301"/>
      <c r="AB49" s="301"/>
      <c r="AC49" s="300"/>
      <c r="AD49" s="303"/>
      <c r="AE49" s="301"/>
      <c r="AF49" s="300"/>
      <c r="AG49" s="300"/>
      <c r="AH49" s="303"/>
      <c r="AI49" s="303"/>
      <c r="AJ49" s="301"/>
      <c r="AK49" s="303"/>
      <c r="AL49" s="301"/>
      <c r="AM49" s="301"/>
      <c r="AN49" s="303"/>
      <c r="AO49" s="303"/>
      <c r="AP49" s="303"/>
      <c r="AQ49" s="301"/>
      <c r="AR49" s="301"/>
      <c r="AS49" s="301"/>
      <c r="AT49" s="301"/>
      <c r="AU49" s="301"/>
      <c r="AV49" s="303"/>
      <c r="AW49" s="301"/>
      <c r="AX49" s="301"/>
      <c r="AY49" s="303"/>
      <c r="AZ49" s="301"/>
      <c r="BA49" s="301"/>
      <c r="BB49" s="301"/>
      <c r="BC49" s="303"/>
      <c r="BD49" s="303"/>
      <c r="BE49" s="303"/>
      <c r="BF49" s="301"/>
      <c r="BG49" s="301"/>
      <c r="BH49" s="301"/>
      <c r="BI49" s="301"/>
      <c r="BJ49" s="304">
        <v>7500</v>
      </c>
      <c r="BK49" s="305"/>
      <c r="BL49" s="306"/>
      <c r="BM49" s="305"/>
      <c r="BN49" s="306"/>
      <c r="BO49" s="307">
        <v>1</v>
      </c>
      <c r="BP49" s="308" t="s">
        <v>115</v>
      </c>
      <c r="BQ49" s="309"/>
      <c r="BR49" s="310">
        <v>40.099840771331998</v>
      </c>
      <c r="BS49" s="310">
        <v>18.183096203780721</v>
      </c>
      <c r="BT49" s="310">
        <v>10.416917607435501</v>
      </c>
      <c r="BU49" s="310">
        <v>7.6264805242622167</v>
      </c>
      <c r="BV49" s="310">
        <v>0.18110633695464079</v>
      </c>
      <c r="BW49" s="310">
        <v>0.1325923851619166</v>
      </c>
      <c r="BX49" s="311">
        <v>4884.3389589984508</v>
      </c>
      <c r="BY49" s="311">
        <v>3575.9441850733219</v>
      </c>
      <c r="BZ49" s="311">
        <v>3210.4969765346941</v>
      </c>
      <c r="CA49" s="312"/>
      <c r="CB49" s="312"/>
      <c r="CC49" s="313">
        <v>-3.5969960474308298</v>
      </c>
      <c r="CD49" s="313"/>
      <c r="CE49" s="314"/>
      <c r="CF49" s="314"/>
      <c r="CG49" s="314"/>
      <c r="CH49" s="315"/>
      <c r="CI49" s="316"/>
      <c r="CJ49" s="315"/>
      <c r="CK49" s="317">
        <v>-6.0000000000000003E-12</v>
      </c>
      <c r="CL49" s="314"/>
      <c r="CM49" s="314"/>
      <c r="CN49" s="314"/>
      <c r="CO49" s="318"/>
      <c r="CP49" s="314"/>
      <c r="CQ49" s="314"/>
      <c r="CR49" s="314"/>
      <c r="CS49" s="314"/>
    </row>
    <row r="50" spans="1:97" ht="11.25" customHeight="1">
      <c r="A50" s="290">
        <v>47</v>
      </c>
      <c r="B50" s="291">
        <v>26</v>
      </c>
      <c r="C50" s="292">
        <v>45901</v>
      </c>
      <c r="D50" s="290" t="s">
        <v>26</v>
      </c>
      <c r="E50" s="293" t="s">
        <v>179</v>
      </c>
      <c r="F50" s="294" t="s">
        <v>186</v>
      </c>
      <c r="G50" s="294" t="s">
        <v>251</v>
      </c>
      <c r="H50" s="295" t="s">
        <v>259</v>
      </c>
      <c r="I50" s="296" t="s">
        <v>253</v>
      </c>
      <c r="J50" s="297">
        <v>45917</v>
      </c>
      <c r="K50" s="298" t="s">
        <v>132</v>
      </c>
      <c r="L50" s="297">
        <v>45923</v>
      </c>
      <c r="M50" s="299" t="s">
        <v>172</v>
      </c>
      <c r="N50" s="297">
        <v>45923.75</v>
      </c>
      <c r="O50" s="299" t="s">
        <v>172</v>
      </c>
      <c r="P50" s="300"/>
      <c r="Q50" s="301"/>
      <c r="R50" s="301"/>
      <c r="S50" s="301"/>
      <c r="T50" s="301"/>
      <c r="U50" s="302"/>
      <c r="V50" s="302"/>
      <c r="W50" s="301"/>
      <c r="X50" s="302"/>
      <c r="Y50" s="302"/>
      <c r="Z50" s="301"/>
      <c r="AA50" s="301"/>
      <c r="AB50" s="301"/>
      <c r="AC50" s="300"/>
      <c r="AD50" s="303"/>
      <c r="AE50" s="301"/>
      <c r="AF50" s="300"/>
      <c r="AG50" s="300"/>
      <c r="AH50" s="303"/>
      <c r="AI50" s="303"/>
      <c r="AJ50" s="301"/>
      <c r="AK50" s="303"/>
      <c r="AL50" s="301"/>
      <c r="AM50" s="301"/>
      <c r="AN50" s="303"/>
      <c r="AO50" s="303"/>
      <c r="AP50" s="303"/>
      <c r="AQ50" s="301"/>
      <c r="AR50" s="301"/>
      <c r="AS50" s="301"/>
      <c r="AT50" s="301"/>
      <c r="AU50" s="301"/>
      <c r="AV50" s="303"/>
      <c r="AW50" s="301"/>
      <c r="AX50" s="301"/>
      <c r="AY50" s="303"/>
      <c r="AZ50" s="301"/>
      <c r="BA50" s="301"/>
      <c r="BB50" s="301"/>
      <c r="BC50" s="303"/>
      <c r="BD50" s="303"/>
      <c r="BE50" s="303"/>
      <c r="BF50" s="301"/>
      <c r="BG50" s="301"/>
      <c r="BH50" s="301"/>
      <c r="BI50" s="301"/>
      <c r="BJ50" s="304">
        <v>7500</v>
      </c>
      <c r="BK50" s="305"/>
      <c r="BL50" s="306"/>
      <c r="BM50" s="305"/>
      <c r="BN50" s="306"/>
      <c r="BO50" s="307">
        <v>1</v>
      </c>
      <c r="BP50" s="308" t="s">
        <v>115</v>
      </c>
      <c r="BQ50" s="309"/>
      <c r="BR50" s="310">
        <v>40.099840771331998</v>
      </c>
      <c r="BS50" s="310">
        <v>18.183096203780721</v>
      </c>
      <c r="BT50" s="310">
        <v>10.416917607435501</v>
      </c>
      <c r="BU50" s="310">
        <v>7.6264805242622167</v>
      </c>
      <c r="BV50" s="310">
        <v>0.18110633695464079</v>
      </c>
      <c r="BW50" s="310">
        <v>0.1325923851619166</v>
      </c>
      <c r="BX50" s="311">
        <v>4884.3389589984508</v>
      </c>
      <c r="BY50" s="311">
        <v>3575.9441850733219</v>
      </c>
      <c r="BZ50" s="311">
        <v>3210.4969765346941</v>
      </c>
      <c r="CA50" s="312"/>
      <c r="CB50" s="312"/>
      <c r="CC50" s="313">
        <v>-3.5969960474308298</v>
      </c>
      <c r="CD50" s="313"/>
      <c r="CE50" s="314"/>
      <c r="CF50" s="314"/>
      <c r="CG50" s="314"/>
      <c r="CH50" s="315"/>
      <c r="CI50" s="316"/>
      <c r="CJ50" s="315"/>
      <c r="CK50" s="317">
        <v>-7.3333333333333339E-12</v>
      </c>
      <c r="CL50" s="314"/>
      <c r="CM50" s="314"/>
      <c r="CN50" s="314"/>
      <c r="CO50" s="318"/>
      <c r="CP50" s="314"/>
      <c r="CQ50" s="314"/>
      <c r="CR50" s="314"/>
      <c r="CS50" s="314"/>
    </row>
    <row r="51" spans="1:97" ht="11.25" customHeight="1">
      <c r="A51">
        <v>48</v>
      </c>
      <c r="B51">
        <v>27</v>
      </c>
      <c r="BJ51">
        <v>0</v>
      </c>
      <c r="BP51" t="s">
        <v>115</v>
      </c>
    </row>
    <row r="52" spans="1:97" ht="11.25" customHeight="1"/>
    <row r="53" spans="1:97" ht="11.25" customHeight="1"/>
    <row r="54" spans="1:97" ht="11.25" customHeight="1"/>
    <row r="55" spans="1:97" ht="11.25" customHeight="1"/>
    <row r="56" spans="1:97" ht="14.25" customHeight="1"/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K50"/>
  <sheetViews>
    <sheetView zoomScale="70" zoomScaleNormal="70" workbookViewId="0">
      <selection activeCell="E4" sqref="E4:E20"/>
    </sheetView>
  </sheetViews>
  <sheetFormatPr defaultRowHeight="14.4"/>
  <cols>
    <col min="1" max="1" width="6.21875" bestFit="1" customWidth="1"/>
    <col min="2" max="2" width="15.21875" bestFit="1" customWidth="1"/>
    <col min="4" max="4" width="11.77734375" bestFit="1" customWidth="1"/>
    <col min="5" max="5" width="19.44140625" bestFit="1" customWidth="1"/>
    <col min="6" max="6" width="23" bestFit="1" customWidth="1"/>
    <col min="7" max="7" width="48.21875" bestFit="1" customWidth="1"/>
    <col min="8" max="8" width="34.77734375" bestFit="1" customWidth="1"/>
    <col min="9" max="9" width="12.21875" bestFit="1" customWidth="1"/>
    <col min="10" max="11" width="14.77734375" bestFit="1" customWidth="1"/>
    <col min="12" max="12" width="15.77734375" customWidth="1"/>
    <col min="13" max="13" width="18.44140625" bestFit="1" customWidth="1"/>
    <col min="14" max="14" width="18.77734375" bestFit="1" customWidth="1"/>
    <col min="15" max="15" width="17.77734375" bestFit="1" customWidth="1"/>
    <col min="16" max="16" width="18.44140625" bestFit="1" customWidth="1"/>
    <col min="17" max="17" width="18.21875" bestFit="1" customWidth="1"/>
    <col min="18" max="18" width="14.77734375" bestFit="1" customWidth="1"/>
    <col min="19" max="19" width="15.21875" bestFit="1" customWidth="1"/>
    <col min="20" max="20" width="14.77734375" bestFit="1" customWidth="1"/>
    <col min="21" max="21" width="14.44140625" bestFit="1" customWidth="1"/>
    <col min="22" max="22" width="14.5546875" bestFit="1" customWidth="1"/>
    <col min="23" max="24" width="7.21875" bestFit="1" customWidth="1"/>
    <col min="25" max="25" width="11.21875" bestFit="1" customWidth="1"/>
    <col min="26" max="26" width="14" bestFit="1" customWidth="1"/>
    <col min="27" max="27" width="15.77734375" bestFit="1" customWidth="1"/>
    <col min="28" max="28" width="11.44140625" bestFit="1" customWidth="1"/>
    <col min="29" max="29" width="11.5546875" bestFit="1" customWidth="1"/>
    <col min="30" max="30" width="11.44140625" bestFit="1" customWidth="1"/>
    <col min="31" max="31" width="11.5546875" bestFit="1" customWidth="1"/>
    <col min="32" max="33" width="11.44140625" bestFit="1" customWidth="1"/>
    <col min="34" max="34" width="11.77734375" bestFit="1" customWidth="1"/>
    <col min="35" max="35" width="10.77734375" bestFit="1" customWidth="1"/>
    <col min="36" max="36" width="13.21875" bestFit="1" customWidth="1"/>
    <col min="37" max="38" width="9.44140625" bestFit="1" customWidth="1"/>
    <col min="39" max="39" width="13.77734375" bestFit="1" customWidth="1"/>
    <col min="40" max="40" width="10.77734375" bestFit="1" customWidth="1"/>
    <col min="41" max="41" width="11.44140625" bestFit="1" customWidth="1"/>
    <col min="42" max="43" width="11.5546875" bestFit="1" customWidth="1"/>
    <col min="44" max="45" width="11.21875" bestFit="1" customWidth="1"/>
    <col min="46" max="46" width="11.5546875" bestFit="1" customWidth="1"/>
    <col min="47" max="47" width="10.77734375" bestFit="1" customWidth="1"/>
    <col min="48" max="48" width="11.77734375" bestFit="1" customWidth="1"/>
    <col min="49" max="49" width="11.44140625" bestFit="1" customWidth="1"/>
    <col min="50" max="51" width="11.21875" bestFit="1" customWidth="1"/>
    <col min="52" max="52" width="10.5546875" bestFit="1" customWidth="1"/>
    <col min="53" max="54" width="11.44140625" bestFit="1" customWidth="1"/>
    <col min="55" max="55" width="11" bestFit="1" customWidth="1"/>
    <col min="56" max="56" width="8.21875" bestFit="1" customWidth="1"/>
    <col min="57" max="57" width="6.5546875" bestFit="1" customWidth="1"/>
    <col min="58" max="58" width="6.44140625" bestFit="1" customWidth="1"/>
    <col min="59" max="59" width="8.21875" customWidth="1"/>
    <col min="60" max="60" width="10.44140625" bestFit="1" customWidth="1"/>
    <col min="61" max="61" width="20.21875" bestFit="1" customWidth="1"/>
    <col min="62" max="62" width="10.77734375" bestFit="1" customWidth="1"/>
    <col min="63" max="63" width="9.77734375" bestFit="1" customWidth="1"/>
    <col min="64" max="65" width="12.21875" bestFit="1" customWidth="1"/>
    <col min="66" max="69" width="10.5546875" bestFit="1" customWidth="1"/>
    <col min="70" max="70" width="12" bestFit="1" customWidth="1"/>
    <col min="71" max="76" width="7.44140625" bestFit="1" customWidth="1"/>
    <col min="77" max="77" width="6.21875" bestFit="1" customWidth="1"/>
    <col min="78" max="83" width="7.5546875" bestFit="1" customWidth="1"/>
    <col min="84" max="84" width="8.5546875" bestFit="1" customWidth="1"/>
    <col min="85" max="85" width="9.21875" bestFit="1" customWidth="1"/>
    <col min="86" max="89" width="12.44140625" bestFit="1" customWidth="1"/>
  </cols>
  <sheetData>
    <row r="3" spans="1:89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11</v>
      </c>
      <c r="L3" s="9" t="s">
        <v>13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25</v>
      </c>
      <c r="X3" s="17" t="s">
        <v>26</v>
      </c>
      <c r="Y3" s="17" t="s">
        <v>28</v>
      </c>
      <c r="Z3" s="17" t="s">
        <v>29</v>
      </c>
      <c r="AA3" s="17" t="s">
        <v>30</v>
      </c>
      <c r="AB3" s="18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7" t="s">
        <v>36</v>
      </c>
      <c r="AH3" s="17" t="s">
        <v>37</v>
      </c>
      <c r="AI3" s="17" t="s">
        <v>38</v>
      </c>
      <c r="AJ3" s="17" t="s">
        <v>39</v>
      </c>
      <c r="AK3" s="30" t="s">
        <v>40</v>
      </c>
      <c r="AL3" s="19" t="s">
        <v>41</v>
      </c>
      <c r="AM3" s="18" t="s">
        <v>42</v>
      </c>
      <c r="AN3" s="17" t="s">
        <v>43</v>
      </c>
      <c r="AO3" s="18" t="s">
        <v>44</v>
      </c>
      <c r="AP3" s="17" t="s">
        <v>45</v>
      </c>
      <c r="AQ3" s="18" t="s">
        <v>46</v>
      </c>
      <c r="AR3" s="18" t="s">
        <v>47</v>
      </c>
      <c r="AS3" s="17" t="s">
        <v>48</v>
      </c>
      <c r="AT3" s="18" t="s">
        <v>49</v>
      </c>
      <c r="AU3" s="18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7" t="s">
        <v>57</v>
      </c>
      <c r="BC3" s="17" t="s">
        <v>59</v>
      </c>
      <c r="BD3" s="8" t="s">
        <v>61</v>
      </c>
      <c r="BE3" s="1" t="s">
        <v>62</v>
      </c>
      <c r="BF3" s="1" t="s">
        <v>64</v>
      </c>
      <c r="BG3" s="8" t="s">
        <v>66</v>
      </c>
      <c r="BH3" s="11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73</v>
      </c>
      <c r="BO3" s="8" t="s">
        <v>74</v>
      </c>
      <c r="BP3" s="10" t="s">
        <v>75</v>
      </c>
      <c r="BQ3" s="10" t="s">
        <v>76</v>
      </c>
      <c r="BR3" s="10" t="s">
        <v>77</v>
      </c>
      <c r="BS3" s="12" t="s">
        <v>78</v>
      </c>
      <c r="BT3" s="12" t="s">
        <v>79</v>
      </c>
      <c r="BU3" s="12" t="s">
        <v>80</v>
      </c>
      <c r="BV3" s="12" t="s">
        <v>81</v>
      </c>
      <c r="BW3" s="12" t="s">
        <v>82</v>
      </c>
      <c r="BX3" s="12" t="s">
        <v>83</v>
      </c>
      <c r="BY3" s="13" t="s">
        <v>84</v>
      </c>
      <c r="BZ3" s="12" t="s">
        <v>85</v>
      </c>
      <c r="CA3" s="12" t="s">
        <v>86</v>
      </c>
      <c r="CB3" s="12" t="s">
        <v>87</v>
      </c>
      <c r="CC3" s="12" t="s">
        <v>88</v>
      </c>
      <c r="CD3" s="12" t="s">
        <v>89</v>
      </c>
      <c r="CE3" s="12" t="s">
        <v>90</v>
      </c>
      <c r="CF3" s="13" t="s">
        <v>91</v>
      </c>
      <c r="CG3" s="14" t="s">
        <v>92</v>
      </c>
      <c r="CH3" s="12" t="s">
        <v>93</v>
      </c>
      <c r="CI3" s="12" t="s">
        <v>94</v>
      </c>
      <c r="CJ3" s="12" t="s">
        <v>95</v>
      </c>
      <c r="CK3" s="12" t="s">
        <v>96</v>
      </c>
    </row>
    <row r="4" spans="1:89">
      <c r="A4" s="134">
        <v>1</v>
      </c>
      <c r="B4" s="125">
        <v>0</v>
      </c>
      <c r="C4" s="146">
        <v>45871</v>
      </c>
      <c r="D4" s="134" t="s">
        <v>97</v>
      </c>
      <c r="E4" s="132" t="s">
        <v>98</v>
      </c>
      <c r="F4" s="135" t="s">
        <v>99</v>
      </c>
      <c r="G4" s="135" t="s">
        <v>100</v>
      </c>
      <c r="H4" s="135" t="s">
        <v>101</v>
      </c>
      <c r="I4" s="135" t="s">
        <v>102</v>
      </c>
      <c r="J4" s="127">
        <v>45899.621527777781</v>
      </c>
      <c r="K4" s="127">
        <v>45900.5625</v>
      </c>
      <c r="L4" s="127">
        <v>45901.82708333333</v>
      </c>
      <c r="M4" s="35"/>
      <c r="N4" s="35">
        <v>3086.6447610858618</v>
      </c>
      <c r="O4" s="35"/>
      <c r="P4" s="35"/>
      <c r="Q4" s="35">
        <v>43862.755238914142</v>
      </c>
      <c r="R4" s="35"/>
      <c r="S4" s="35"/>
      <c r="T4" s="35"/>
      <c r="U4" s="35">
        <v>14950.129000000001</v>
      </c>
      <c r="V4" s="35"/>
      <c r="W4" s="35"/>
      <c r="X4" s="35"/>
      <c r="Y4" s="35"/>
      <c r="Z4" s="22">
        <v>0</v>
      </c>
      <c r="AA4" s="35">
        <v>0</v>
      </c>
      <c r="AB4" s="35"/>
      <c r="AC4" s="35"/>
      <c r="AD4" s="23">
        <v>0</v>
      </c>
      <c r="AE4" s="23">
        <v>0</v>
      </c>
      <c r="AF4" s="35">
        <v>0</v>
      </c>
      <c r="AG4" s="23">
        <v>0</v>
      </c>
      <c r="AH4" s="35"/>
      <c r="AI4" s="35"/>
      <c r="AJ4" s="23">
        <v>0</v>
      </c>
      <c r="AK4" s="23">
        <v>0</v>
      </c>
      <c r="AL4" s="23">
        <v>0</v>
      </c>
      <c r="AM4" s="35"/>
      <c r="AN4" s="35"/>
      <c r="AO4" s="21"/>
      <c r="AP4" s="35"/>
      <c r="AQ4" s="35"/>
      <c r="AR4" s="23">
        <v>0</v>
      </c>
      <c r="AS4" s="35">
        <v>5109.4709999999995</v>
      </c>
      <c r="AT4" s="35"/>
      <c r="AU4" s="23">
        <v>0</v>
      </c>
      <c r="AV4" s="21">
        <v>0</v>
      </c>
      <c r="AW4" s="111"/>
      <c r="AX4" s="35"/>
      <c r="AY4" s="23">
        <v>0</v>
      </c>
      <c r="AZ4" s="23">
        <v>0</v>
      </c>
      <c r="BA4" s="23">
        <v>0</v>
      </c>
      <c r="BB4" s="35">
        <v>0</v>
      </c>
      <c r="BC4" s="35">
        <v>7500</v>
      </c>
      <c r="BD4" s="136">
        <v>54350</v>
      </c>
      <c r="BE4" s="138">
        <v>45897</v>
      </c>
      <c r="BF4" s="138">
        <v>45906</v>
      </c>
      <c r="BG4" s="131">
        <v>1</v>
      </c>
      <c r="BH4" s="133" t="s">
        <v>108</v>
      </c>
      <c r="BI4" s="50"/>
      <c r="BJ4" s="51">
        <v>15.22</v>
      </c>
      <c r="BK4" s="51">
        <v>11.19</v>
      </c>
      <c r="BL4" s="51">
        <v>4.9400000000000004</v>
      </c>
      <c r="BM4" s="51">
        <v>4.7158338024997191</v>
      </c>
      <c r="BN4" s="51">
        <v>2.37</v>
      </c>
      <c r="BO4" s="51">
        <v>2.2624546785271931</v>
      </c>
      <c r="BP4" s="52">
        <v>6095</v>
      </c>
      <c r="BQ4" s="52">
        <v>5818.4224749465147</v>
      </c>
      <c r="BR4" s="52">
        <v>5516.8867147065148</v>
      </c>
      <c r="BS4" s="25">
        <v>4.79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39">
        <v>-2.4378109452745371</v>
      </c>
      <c r="CA4" s="27">
        <v>-2.4378109452745371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30">
        <v>2000.000000003582</v>
      </c>
      <c r="CH4" s="32">
        <v>0</v>
      </c>
      <c r="CI4" s="32">
        <v>0</v>
      </c>
      <c r="CJ4" s="32">
        <v>0</v>
      </c>
      <c r="CK4" s="32">
        <v>0</v>
      </c>
    </row>
    <row r="5" spans="1:89">
      <c r="A5" s="134">
        <v>2</v>
      </c>
      <c r="B5" s="125">
        <v>0</v>
      </c>
      <c r="C5" s="146">
        <v>45901</v>
      </c>
      <c r="D5" s="134" t="s">
        <v>97</v>
      </c>
      <c r="E5" s="132" t="s">
        <v>98</v>
      </c>
      <c r="F5" s="135" t="s">
        <v>109</v>
      </c>
      <c r="G5" s="135" t="s">
        <v>110</v>
      </c>
      <c r="H5" s="135" t="s">
        <v>111</v>
      </c>
      <c r="I5" s="135" t="s">
        <v>102</v>
      </c>
      <c r="J5" s="127">
        <v>45904.083333333343</v>
      </c>
      <c r="K5" s="127">
        <v>45904.333333333343</v>
      </c>
      <c r="L5" s="127">
        <v>45905.75</v>
      </c>
      <c r="M5" s="35"/>
      <c r="N5" s="35"/>
      <c r="O5" s="35"/>
      <c r="P5" s="35">
        <v>3970.8029197080291</v>
      </c>
      <c r="Q5" s="35">
        <v>53111.661080291968</v>
      </c>
      <c r="R5" s="35"/>
      <c r="S5" s="35"/>
      <c r="T5" s="35"/>
      <c r="U5" s="35"/>
      <c r="V5" s="35"/>
      <c r="W5" s="35"/>
      <c r="X5" s="35"/>
      <c r="Y5" s="35"/>
      <c r="Z5" s="22">
        <v>0</v>
      </c>
      <c r="AA5" s="35">
        <v>7500</v>
      </c>
      <c r="AB5" s="35">
        <v>7500</v>
      </c>
      <c r="AC5" s="35"/>
      <c r="AD5" s="23">
        <v>0</v>
      </c>
      <c r="AE5" s="23">
        <v>0</v>
      </c>
      <c r="AF5" s="35">
        <v>0</v>
      </c>
      <c r="AG5" s="23">
        <v>0</v>
      </c>
      <c r="AH5" s="35"/>
      <c r="AI5" s="35"/>
      <c r="AJ5" s="23">
        <v>0</v>
      </c>
      <c r="AK5" s="23">
        <v>0</v>
      </c>
      <c r="AL5" s="23">
        <v>0</v>
      </c>
      <c r="AM5" s="35"/>
      <c r="AN5" s="35"/>
      <c r="AO5" s="21"/>
      <c r="AP5" s="35"/>
      <c r="AQ5" s="35"/>
      <c r="AR5" s="23">
        <v>0</v>
      </c>
      <c r="AS5" s="35">
        <v>5049.5360000000001</v>
      </c>
      <c r="AT5" s="35"/>
      <c r="AU5" s="23">
        <v>0</v>
      </c>
      <c r="AV5" s="21">
        <v>0</v>
      </c>
      <c r="AW5" s="111"/>
      <c r="AX5" s="35"/>
      <c r="AY5" s="23">
        <v>0</v>
      </c>
      <c r="AZ5" s="23">
        <v>0</v>
      </c>
      <c r="BA5" s="23">
        <v>0</v>
      </c>
      <c r="BB5" s="35">
        <v>0</v>
      </c>
      <c r="BC5" s="35">
        <v>0</v>
      </c>
      <c r="BD5" s="136">
        <v>68000</v>
      </c>
      <c r="BE5" s="138">
        <v>45904</v>
      </c>
      <c r="BF5" s="138">
        <v>45913</v>
      </c>
      <c r="BG5" s="131">
        <v>0.88819838235294113</v>
      </c>
      <c r="BH5" s="133" t="s">
        <v>115</v>
      </c>
      <c r="BI5" s="50"/>
      <c r="BJ5" s="51">
        <v>17.73</v>
      </c>
      <c r="BK5" s="51">
        <v>11.65</v>
      </c>
      <c r="BL5" s="51">
        <v>6.16</v>
      </c>
      <c r="BM5" s="51">
        <v>5.74</v>
      </c>
      <c r="BN5" s="51">
        <v>2.0699999999999998</v>
      </c>
      <c r="BO5" s="51">
        <v>1.92</v>
      </c>
      <c r="BP5" s="52">
        <v>6118</v>
      </c>
      <c r="BQ5" s="52">
        <v>5697</v>
      </c>
      <c r="BR5" s="52">
        <v>5390</v>
      </c>
      <c r="BS5" s="25">
        <v>5.6438499999999996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39">
        <v>-2.0052211467264982</v>
      </c>
      <c r="CA5" s="27">
        <v>-2.0052211467264982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30">
        <v>1999.999999995767</v>
      </c>
      <c r="CH5" s="31">
        <v>0</v>
      </c>
      <c r="CI5" s="31">
        <v>0</v>
      </c>
      <c r="CJ5" s="31">
        <v>0</v>
      </c>
      <c r="CK5" s="31">
        <v>0</v>
      </c>
    </row>
    <row r="6" spans="1:89">
      <c r="A6" s="134">
        <v>3</v>
      </c>
      <c r="B6" s="125">
        <v>0</v>
      </c>
      <c r="C6" s="122">
        <v>45870</v>
      </c>
      <c r="D6" s="134" t="s">
        <v>97</v>
      </c>
      <c r="E6" s="132" t="s">
        <v>98</v>
      </c>
      <c r="F6" s="135" t="s">
        <v>116</v>
      </c>
      <c r="G6" s="135" t="s">
        <v>117</v>
      </c>
      <c r="H6" s="135" t="s">
        <v>118</v>
      </c>
      <c r="I6" s="135" t="s">
        <v>102</v>
      </c>
      <c r="J6" s="128">
        <v>45905.541666666657</v>
      </c>
      <c r="K6" s="128">
        <v>45905.895833333343</v>
      </c>
      <c r="L6" s="128">
        <v>45907.375</v>
      </c>
      <c r="M6" s="35"/>
      <c r="N6" s="35"/>
      <c r="O6" s="35"/>
      <c r="P6" s="35"/>
      <c r="Q6" s="35">
        <v>2747.7159999999999</v>
      </c>
      <c r="R6" s="35"/>
      <c r="S6" s="35"/>
      <c r="T6" s="35"/>
      <c r="U6" s="35"/>
      <c r="V6" s="35"/>
      <c r="W6" s="35"/>
      <c r="X6" s="35"/>
      <c r="Y6" s="35">
        <v>6635.7709999999997</v>
      </c>
      <c r="Z6" s="22">
        <v>0</v>
      </c>
      <c r="AA6" s="35">
        <v>0</v>
      </c>
      <c r="AB6" s="35"/>
      <c r="AC6" s="35"/>
      <c r="AD6" s="23">
        <v>0</v>
      </c>
      <c r="AE6" s="23">
        <v>0</v>
      </c>
      <c r="AF6" s="35">
        <v>0</v>
      </c>
      <c r="AG6" s="23">
        <v>0</v>
      </c>
      <c r="AH6" s="35"/>
      <c r="AI6" s="35"/>
      <c r="AJ6" s="23">
        <v>0</v>
      </c>
      <c r="AK6" s="23">
        <v>0</v>
      </c>
      <c r="AL6" s="23">
        <v>0</v>
      </c>
      <c r="AM6" s="35">
        <v>7502</v>
      </c>
      <c r="AN6" s="35"/>
      <c r="AO6" s="21"/>
      <c r="AP6" s="35">
        <v>15546.612999999999</v>
      </c>
      <c r="AQ6" s="35"/>
      <c r="AR6" s="23">
        <v>0</v>
      </c>
      <c r="AS6" s="35"/>
      <c r="AT6" s="35"/>
      <c r="AU6" s="23">
        <v>0</v>
      </c>
      <c r="AV6" s="21">
        <v>0</v>
      </c>
      <c r="AW6" s="109"/>
      <c r="AX6" s="35"/>
      <c r="AY6" s="23">
        <v>0</v>
      </c>
      <c r="AZ6" s="23">
        <v>0</v>
      </c>
      <c r="BA6" s="23">
        <v>0</v>
      </c>
      <c r="BB6" s="35">
        <v>0</v>
      </c>
      <c r="BC6" s="35">
        <v>0</v>
      </c>
      <c r="BD6" s="136">
        <v>71000</v>
      </c>
      <c r="BE6" s="138">
        <v>45895</v>
      </c>
      <c r="BF6" s="138">
        <v>45906</v>
      </c>
      <c r="BG6" s="131">
        <v>0.78997591549295776</v>
      </c>
      <c r="BH6" s="133" t="s">
        <v>115</v>
      </c>
      <c r="BI6" s="50"/>
      <c r="BJ6" s="51">
        <v>18.28064310400363</v>
      </c>
      <c r="BK6" s="51">
        <v>12.02673506770687</v>
      </c>
      <c r="BL6" s="51">
        <v>5.7680966567662466</v>
      </c>
      <c r="BM6" s="51">
        <v>5.2371638228085553</v>
      </c>
      <c r="BN6" s="51">
        <v>1.9386444236535001</v>
      </c>
      <c r="BO6" s="51">
        <v>1.842404306391386</v>
      </c>
      <c r="BP6" s="52">
        <v>5962.789286911715</v>
      </c>
      <c r="BQ6" s="52">
        <v>5554.1552082486696</v>
      </c>
      <c r="BR6" s="52">
        <v>5257.0523309509063</v>
      </c>
      <c r="BS6" s="25">
        <v>-2.33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39">
        <v>-0.43381277118175982</v>
      </c>
      <c r="CA6" s="27">
        <v>-0.43381277118175982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30">
        <v>2000</v>
      </c>
      <c r="CH6" s="32">
        <v>0</v>
      </c>
      <c r="CI6" s="32">
        <v>0</v>
      </c>
      <c r="CJ6" s="32">
        <v>0</v>
      </c>
      <c r="CK6" s="32">
        <v>0</v>
      </c>
    </row>
    <row r="7" spans="1:89">
      <c r="A7" s="134">
        <v>4</v>
      </c>
      <c r="B7" s="125">
        <v>0</v>
      </c>
      <c r="C7" s="146">
        <v>45901</v>
      </c>
      <c r="D7" s="134" t="s">
        <v>97</v>
      </c>
      <c r="E7" s="132" t="s">
        <v>98</v>
      </c>
      <c r="F7" s="135" t="s">
        <v>121</v>
      </c>
      <c r="G7" s="135" t="s">
        <v>122</v>
      </c>
      <c r="H7" s="135" t="s">
        <v>123</v>
      </c>
      <c r="I7" s="135" t="s">
        <v>102</v>
      </c>
      <c r="J7" s="128">
        <v>45907.5</v>
      </c>
      <c r="K7" s="128">
        <v>45907.8125</v>
      </c>
      <c r="L7" s="128">
        <v>45908.43854166667</v>
      </c>
      <c r="M7" s="35">
        <v>28710.387999999999</v>
      </c>
      <c r="N7" s="35">
        <v>6991.5609999999997</v>
      </c>
      <c r="O7" s="35"/>
      <c r="P7" s="35"/>
      <c r="Q7" s="35">
        <v>10132.696</v>
      </c>
      <c r="R7" s="35"/>
      <c r="S7" s="35"/>
      <c r="T7" s="35"/>
      <c r="U7" s="35">
        <v>7519.6180000000004</v>
      </c>
      <c r="V7" s="35"/>
      <c r="W7" s="35"/>
      <c r="X7" s="35">
        <v>13069.460999999999</v>
      </c>
      <c r="Y7" s="35"/>
      <c r="Z7" s="22">
        <v>0</v>
      </c>
      <c r="AA7" s="35">
        <v>0</v>
      </c>
      <c r="AB7" s="35"/>
      <c r="AC7" s="35"/>
      <c r="AD7" s="23">
        <v>0</v>
      </c>
      <c r="AE7" s="23">
        <v>0</v>
      </c>
      <c r="AF7" s="35">
        <v>0</v>
      </c>
      <c r="AG7" s="23">
        <v>0</v>
      </c>
      <c r="AH7" s="35"/>
      <c r="AI7" s="35">
        <v>5312</v>
      </c>
      <c r="AJ7" s="23">
        <v>0</v>
      </c>
      <c r="AK7" s="23">
        <v>0</v>
      </c>
      <c r="AL7" s="23">
        <v>0</v>
      </c>
      <c r="AM7" s="35"/>
      <c r="AN7" s="35"/>
      <c r="AO7" s="21"/>
      <c r="AP7" s="35">
        <v>5264.2759999999998</v>
      </c>
      <c r="AQ7" s="35"/>
      <c r="AR7" s="23">
        <v>0</v>
      </c>
      <c r="AS7" s="35"/>
      <c r="AT7" s="35"/>
      <c r="AU7" s="23">
        <v>0</v>
      </c>
      <c r="AV7" s="21">
        <v>0</v>
      </c>
      <c r="AW7" s="111"/>
      <c r="AX7" s="35"/>
      <c r="AY7" s="23">
        <v>0</v>
      </c>
      <c r="AZ7" s="23">
        <v>0</v>
      </c>
      <c r="BA7" s="23">
        <v>0</v>
      </c>
      <c r="BB7" s="35">
        <v>7500</v>
      </c>
      <c r="BC7" s="35">
        <v>0</v>
      </c>
      <c r="BD7" s="136">
        <v>30050</v>
      </c>
      <c r="BE7" s="139">
        <v>45903</v>
      </c>
      <c r="BF7" s="139">
        <v>45912</v>
      </c>
      <c r="BG7" s="131">
        <v>0.75041597337770383</v>
      </c>
      <c r="BH7" s="133" t="s">
        <v>115</v>
      </c>
      <c r="BI7" s="50"/>
      <c r="BJ7" s="51">
        <v>16.595961271214641</v>
      </c>
      <c r="BK7" s="51">
        <v>11.092641044925131</v>
      </c>
      <c r="BL7" s="51">
        <v>5.4275419833610652</v>
      </c>
      <c r="BM7" s="51">
        <v>5.0794146013754666</v>
      </c>
      <c r="BN7" s="51">
        <v>1.645440885191348</v>
      </c>
      <c r="BO7" s="51">
        <v>1.5503404202273929</v>
      </c>
      <c r="BP7" s="52">
        <v>6104.8635613976703</v>
      </c>
      <c r="BQ7" s="52">
        <v>5729.5578715766596</v>
      </c>
      <c r="BR7" s="52">
        <v>5420.4731088094404</v>
      </c>
      <c r="BS7" s="25">
        <v>6.7591234496916002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26">
        <v>-4.722437785715413</v>
      </c>
      <c r="CA7" s="27">
        <v>-4.722437785715413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30">
        <v>1800.0000000022569</v>
      </c>
      <c r="CH7" s="31">
        <v>0</v>
      </c>
      <c r="CI7" s="31">
        <v>0</v>
      </c>
      <c r="CJ7" s="31">
        <v>0</v>
      </c>
      <c r="CK7" s="31">
        <v>0</v>
      </c>
    </row>
    <row r="8" spans="1:89">
      <c r="A8" s="134">
        <v>5</v>
      </c>
      <c r="B8" s="125">
        <v>0</v>
      </c>
      <c r="C8" s="144">
        <v>45901</v>
      </c>
      <c r="D8" s="134" t="s">
        <v>97</v>
      </c>
      <c r="E8" s="132" t="s">
        <v>98</v>
      </c>
      <c r="F8" s="135" t="s">
        <v>127</v>
      </c>
      <c r="G8" s="135" t="s">
        <v>128</v>
      </c>
      <c r="H8" s="135" t="s">
        <v>129</v>
      </c>
      <c r="I8" s="135" t="s">
        <v>102</v>
      </c>
      <c r="J8" s="128">
        <v>45909</v>
      </c>
      <c r="K8" s="128">
        <v>45909.166666666657</v>
      </c>
      <c r="L8" s="128">
        <v>45911.111111111109</v>
      </c>
      <c r="M8" s="35"/>
      <c r="N8" s="35">
        <v>10000</v>
      </c>
      <c r="O8" s="35"/>
      <c r="P8" s="35">
        <v>5000</v>
      </c>
      <c r="Q8" s="35">
        <v>34607.470999999998</v>
      </c>
      <c r="R8" s="35"/>
      <c r="S8" s="35"/>
      <c r="T8" s="35"/>
      <c r="U8" s="35"/>
      <c r="V8" s="35"/>
      <c r="W8" s="35"/>
      <c r="X8" s="35">
        <v>7581.21</v>
      </c>
      <c r="Y8" s="35"/>
      <c r="Z8" s="22">
        <v>0</v>
      </c>
      <c r="AA8" s="35">
        <v>0</v>
      </c>
      <c r="AB8" s="35"/>
      <c r="AC8" s="35">
        <v>7504.3190000000004</v>
      </c>
      <c r="AD8" s="23">
        <v>0</v>
      </c>
      <c r="AE8" s="23">
        <v>0</v>
      </c>
      <c r="AF8" s="35">
        <v>0</v>
      </c>
      <c r="AG8" s="23">
        <v>0</v>
      </c>
      <c r="AH8" s="35">
        <v>5307</v>
      </c>
      <c r="AI8" s="35"/>
      <c r="AJ8" s="23">
        <v>0</v>
      </c>
      <c r="AK8" s="23">
        <v>0</v>
      </c>
      <c r="AL8" s="23">
        <v>0</v>
      </c>
      <c r="AM8" s="35"/>
      <c r="AN8" s="35"/>
      <c r="AO8" s="21"/>
      <c r="AP8" s="35">
        <v>6003.42</v>
      </c>
      <c r="AQ8" s="35"/>
      <c r="AR8" s="23">
        <v>0</v>
      </c>
      <c r="AS8" s="35"/>
      <c r="AT8" s="35"/>
      <c r="AU8" s="23">
        <v>0</v>
      </c>
      <c r="AV8" s="21">
        <v>0</v>
      </c>
      <c r="AW8" s="111"/>
      <c r="AX8" s="35"/>
      <c r="AY8" s="23">
        <v>0</v>
      </c>
      <c r="AZ8" s="23">
        <v>0</v>
      </c>
      <c r="BA8" s="23">
        <v>0</v>
      </c>
      <c r="BB8" s="35">
        <v>0</v>
      </c>
      <c r="BC8" s="35">
        <v>0</v>
      </c>
      <c r="BD8" s="136">
        <v>70000</v>
      </c>
      <c r="BE8" s="138">
        <v>45908</v>
      </c>
      <c r="BF8" s="138">
        <v>45917</v>
      </c>
      <c r="BG8" s="129">
        <v>0.67854457142857139</v>
      </c>
      <c r="BH8" s="133" t="s">
        <v>115</v>
      </c>
      <c r="BI8" s="50"/>
      <c r="BJ8" s="51">
        <v>23.215846709366001</v>
      </c>
      <c r="BK8" s="51">
        <v>13.435205271513279</v>
      </c>
      <c r="BL8" s="51">
        <v>6.7033483624628687</v>
      </c>
      <c r="BM8" s="51">
        <v>5.654073735094026</v>
      </c>
      <c r="BN8" s="51">
        <v>1.65000002944847</v>
      </c>
      <c r="BO8" s="51">
        <v>1.562160374931546</v>
      </c>
      <c r="BP8" s="52">
        <v>5706.0602679244012</v>
      </c>
      <c r="BQ8" s="52">
        <v>5097.7391097782311</v>
      </c>
      <c r="BR8" s="52">
        <v>4775.6927253484391</v>
      </c>
      <c r="BS8" s="25">
        <v>2.25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26">
        <v>-9.3055976192616588E-2</v>
      </c>
      <c r="CA8" s="27">
        <v>-9.3055976192616588E-2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30">
        <v>1999.999999996674</v>
      </c>
      <c r="CH8" s="32">
        <v>0</v>
      </c>
      <c r="CI8" s="32">
        <v>0</v>
      </c>
      <c r="CJ8" s="32">
        <v>0</v>
      </c>
      <c r="CK8" s="32">
        <v>0</v>
      </c>
    </row>
    <row r="9" spans="1:89">
      <c r="A9" s="134">
        <v>6</v>
      </c>
      <c r="B9" s="125">
        <v>0</v>
      </c>
      <c r="C9" s="146">
        <v>45901</v>
      </c>
      <c r="D9" s="134" t="s">
        <v>133</v>
      </c>
      <c r="E9" s="132" t="s">
        <v>98</v>
      </c>
      <c r="F9" s="135" t="s">
        <v>134</v>
      </c>
      <c r="G9" s="135" t="s">
        <v>135</v>
      </c>
      <c r="H9" s="135" t="s">
        <v>136</v>
      </c>
      <c r="I9" s="135" t="s">
        <v>102</v>
      </c>
      <c r="J9" s="128">
        <v>45907.5</v>
      </c>
      <c r="K9" s="128">
        <v>45911.208333333343</v>
      </c>
      <c r="L9" s="128">
        <v>45912.145833333343</v>
      </c>
      <c r="M9" s="35"/>
      <c r="N9" s="35">
        <v>5000</v>
      </c>
      <c r="O9" s="35"/>
      <c r="P9" s="35"/>
      <c r="Q9" s="35">
        <v>33702.519999999997</v>
      </c>
      <c r="R9" s="35"/>
      <c r="S9" s="35"/>
      <c r="T9" s="35"/>
      <c r="U9" s="35">
        <v>10380.166999999999</v>
      </c>
      <c r="V9" s="35"/>
      <c r="W9" s="35"/>
      <c r="X9" s="35"/>
      <c r="Y9" s="35"/>
      <c r="Z9" s="22">
        <v>0</v>
      </c>
      <c r="AA9" s="35">
        <v>0</v>
      </c>
      <c r="AB9" s="35">
        <v>7500</v>
      </c>
      <c r="AC9" s="35"/>
      <c r="AD9" s="23">
        <v>0</v>
      </c>
      <c r="AE9" s="23">
        <v>0</v>
      </c>
      <c r="AF9" s="35">
        <v>0</v>
      </c>
      <c r="AG9" s="23">
        <v>0</v>
      </c>
      <c r="AH9" s="35"/>
      <c r="AI9" s="35"/>
      <c r="AJ9" s="23">
        <v>0</v>
      </c>
      <c r="AK9" s="23">
        <v>0</v>
      </c>
      <c r="AL9" s="23">
        <v>0</v>
      </c>
      <c r="AM9" s="35"/>
      <c r="AN9" s="35"/>
      <c r="AO9" s="21"/>
      <c r="AP9" s="35">
        <v>5217.893</v>
      </c>
      <c r="AQ9" s="35"/>
      <c r="AR9" s="23">
        <v>0</v>
      </c>
      <c r="AS9" s="35">
        <v>5199.42</v>
      </c>
      <c r="AT9" s="35"/>
      <c r="AU9" s="23">
        <v>0</v>
      </c>
      <c r="AV9" s="21">
        <v>0</v>
      </c>
      <c r="AW9" s="111"/>
      <c r="AX9" s="35"/>
      <c r="AY9" s="23">
        <v>0</v>
      </c>
      <c r="AZ9" s="23">
        <v>0</v>
      </c>
      <c r="BA9" s="23">
        <v>0</v>
      </c>
      <c r="BB9" s="35">
        <v>0</v>
      </c>
      <c r="BC9" s="35">
        <v>0</v>
      </c>
      <c r="BD9" s="136">
        <v>45000</v>
      </c>
      <c r="BE9" s="138">
        <v>45906</v>
      </c>
      <c r="BF9" s="138">
        <v>45915</v>
      </c>
      <c r="BG9" s="126">
        <v>0.99111111111111116</v>
      </c>
      <c r="BH9" s="137" t="s">
        <v>115</v>
      </c>
      <c r="BI9" s="50"/>
      <c r="BJ9" s="51">
        <v>16.25</v>
      </c>
      <c r="BK9" s="51">
        <v>10.96</v>
      </c>
      <c r="BL9" s="51">
        <v>4.5999999999999996</v>
      </c>
      <c r="BM9" s="51">
        <v>4.33</v>
      </c>
      <c r="BN9" s="51">
        <v>0.87</v>
      </c>
      <c r="BO9" s="51">
        <v>0.82</v>
      </c>
      <c r="BP9" s="52">
        <v>6507</v>
      </c>
      <c r="BQ9" s="52">
        <v>6120</v>
      </c>
      <c r="BR9" s="52">
        <v>5802</v>
      </c>
      <c r="BS9" s="25">
        <v>8.0299999999999994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26">
        <v>6.1929968532162347E-3</v>
      </c>
      <c r="CA9" s="27">
        <v>6.1929968532162347E-3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30">
        <v>1999.999999996674</v>
      </c>
      <c r="CH9" s="31">
        <v>0</v>
      </c>
      <c r="CI9" s="31">
        <v>0</v>
      </c>
      <c r="CJ9" s="31">
        <v>0</v>
      </c>
      <c r="CK9" s="31">
        <v>0</v>
      </c>
    </row>
    <row r="10" spans="1:89">
      <c r="A10" s="134">
        <v>7</v>
      </c>
      <c r="B10" s="125">
        <v>0</v>
      </c>
      <c r="C10" s="144">
        <v>45901</v>
      </c>
      <c r="D10" s="134" t="s">
        <v>97</v>
      </c>
      <c r="E10" s="132" t="s">
        <v>98</v>
      </c>
      <c r="F10" s="135" t="s">
        <v>138</v>
      </c>
      <c r="G10" s="135" t="s">
        <v>117</v>
      </c>
      <c r="H10" s="135" t="s">
        <v>139</v>
      </c>
      <c r="I10" s="135" t="s">
        <v>102</v>
      </c>
      <c r="J10" s="128">
        <v>45911</v>
      </c>
      <c r="K10" s="128">
        <v>45912.340277777781</v>
      </c>
      <c r="L10" s="128">
        <v>45913.798611111109</v>
      </c>
      <c r="M10" s="35">
        <v>5500</v>
      </c>
      <c r="N10" s="35"/>
      <c r="O10" s="35"/>
      <c r="P10" s="35"/>
      <c r="Q10" s="35"/>
      <c r="R10" s="35"/>
      <c r="S10" s="35"/>
      <c r="T10" s="35"/>
      <c r="U10" s="35">
        <v>52497.258999999998</v>
      </c>
      <c r="V10" s="35"/>
      <c r="W10" s="35"/>
      <c r="X10" s="35"/>
      <c r="Y10" s="35">
        <v>7502.741</v>
      </c>
      <c r="Z10" s="22">
        <v>0</v>
      </c>
      <c r="AA10" s="35">
        <v>0</v>
      </c>
      <c r="AB10" s="35">
        <v>7500</v>
      </c>
      <c r="AC10" s="35"/>
      <c r="AD10" s="23">
        <v>0</v>
      </c>
      <c r="AE10" s="23">
        <v>0</v>
      </c>
      <c r="AF10" s="35">
        <v>0</v>
      </c>
      <c r="AG10" s="23">
        <v>0</v>
      </c>
      <c r="AH10" s="35"/>
      <c r="AI10" s="35"/>
      <c r="AJ10" s="23">
        <v>0</v>
      </c>
      <c r="AK10" s="23">
        <v>0</v>
      </c>
      <c r="AL10" s="23">
        <v>0</v>
      </c>
      <c r="AM10" s="35"/>
      <c r="AN10" s="35"/>
      <c r="AO10" s="21"/>
      <c r="AP10" s="35"/>
      <c r="AQ10" s="35"/>
      <c r="AR10" s="23">
        <v>0</v>
      </c>
      <c r="AS10" s="35"/>
      <c r="AT10" s="35"/>
      <c r="AU10" s="23">
        <v>0</v>
      </c>
      <c r="AV10" s="21">
        <v>0</v>
      </c>
      <c r="AW10" s="111"/>
      <c r="AX10" s="35"/>
      <c r="AY10" s="23">
        <v>0</v>
      </c>
      <c r="AZ10" s="23">
        <v>0</v>
      </c>
      <c r="BA10" s="23">
        <v>0</v>
      </c>
      <c r="BB10" s="35">
        <v>0</v>
      </c>
      <c r="BC10" s="35">
        <v>0</v>
      </c>
      <c r="BD10" s="136">
        <v>70000</v>
      </c>
      <c r="BE10" s="139">
        <v>45905</v>
      </c>
      <c r="BF10" s="139">
        <v>45914</v>
      </c>
      <c r="BG10" s="131">
        <v>0.81709657142857151</v>
      </c>
      <c r="BH10" s="137" t="s">
        <v>115</v>
      </c>
      <c r="BI10" s="50"/>
      <c r="BJ10" s="51">
        <v>19.237892947983529</v>
      </c>
      <c r="BK10" s="51">
        <v>11.84417773690712</v>
      </c>
      <c r="BL10" s="51">
        <v>6.2141441402106938</v>
      </c>
      <c r="BM10" s="51">
        <v>5.565991165513072</v>
      </c>
      <c r="BN10" s="51">
        <v>1.891788650167022</v>
      </c>
      <c r="BO10" s="51">
        <v>1.7863329945521531</v>
      </c>
      <c r="BP10" s="52">
        <v>5956.088134300312</v>
      </c>
      <c r="BQ10" s="52">
        <v>5475.9477254397198</v>
      </c>
      <c r="BR10" s="52">
        <v>5163.2437120758941</v>
      </c>
      <c r="BS10" s="25">
        <v>0.75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26">
        <v>-0.17906104478109339</v>
      </c>
      <c r="CA10" s="27">
        <v>-0.17906104478109339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30">
        <v>2000.0000000029099</v>
      </c>
      <c r="CH10" s="32">
        <v>0</v>
      </c>
      <c r="CI10" s="32">
        <v>0</v>
      </c>
      <c r="CJ10" s="32">
        <v>0</v>
      </c>
      <c r="CK10" s="32">
        <v>0</v>
      </c>
    </row>
    <row r="11" spans="1:89">
      <c r="A11" s="134">
        <v>8</v>
      </c>
      <c r="B11" s="125">
        <v>0</v>
      </c>
      <c r="C11" s="121">
        <v>45901</v>
      </c>
      <c r="D11" s="134" t="s">
        <v>97</v>
      </c>
      <c r="E11" s="132" t="s">
        <v>98</v>
      </c>
      <c r="F11" s="135" t="s">
        <v>141</v>
      </c>
      <c r="G11" s="135" t="s">
        <v>142</v>
      </c>
      <c r="H11" s="135" t="s">
        <v>143</v>
      </c>
      <c r="I11" s="135" t="s">
        <v>102</v>
      </c>
      <c r="J11" s="128">
        <v>45911</v>
      </c>
      <c r="K11" s="128">
        <v>45913.944444444453</v>
      </c>
      <c r="L11" s="128">
        <v>45915.402777777781</v>
      </c>
      <c r="M11" s="35"/>
      <c r="N11" s="35"/>
      <c r="O11" s="35"/>
      <c r="P11" s="35"/>
      <c r="Q11" s="35">
        <v>38552.608999999997</v>
      </c>
      <c r="R11" s="35"/>
      <c r="S11" s="35"/>
      <c r="T11" s="35"/>
      <c r="U11" s="35"/>
      <c r="V11" s="35"/>
      <c r="W11" s="35"/>
      <c r="X11" s="35">
        <v>21446.322</v>
      </c>
      <c r="Y11" s="35"/>
      <c r="Z11" s="22">
        <v>0</v>
      </c>
      <c r="AA11" s="35">
        <v>0</v>
      </c>
      <c r="AB11" s="35"/>
      <c r="AC11" s="35"/>
      <c r="AD11" s="23">
        <v>0</v>
      </c>
      <c r="AE11" s="23">
        <v>0</v>
      </c>
      <c r="AF11" s="35">
        <v>0</v>
      </c>
      <c r="AG11" s="23">
        <v>0</v>
      </c>
      <c r="AH11" s="35"/>
      <c r="AI11" s="35"/>
      <c r="AJ11" s="23">
        <v>0</v>
      </c>
      <c r="AK11" s="23">
        <v>0</v>
      </c>
      <c r="AL11" s="23">
        <v>0</v>
      </c>
      <c r="AM11" s="35"/>
      <c r="AN11" s="35"/>
      <c r="AO11" s="21"/>
      <c r="AP11" s="35">
        <v>12701.069</v>
      </c>
      <c r="AQ11" s="35"/>
      <c r="AR11" s="23">
        <v>0</v>
      </c>
      <c r="AS11" s="35"/>
      <c r="AT11" s="35"/>
      <c r="AU11" s="23">
        <v>0</v>
      </c>
      <c r="AV11" s="21">
        <v>0</v>
      </c>
      <c r="AW11" s="111"/>
      <c r="AX11" s="35"/>
      <c r="AY11" s="23">
        <v>0</v>
      </c>
      <c r="AZ11" s="23">
        <v>0</v>
      </c>
      <c r="BA11" s="23">
        <v>0</v>
      </c>
      <c r="BB11" s="35">
        <v>0</v>
      </c>
      <c r="BC11" s="35">
        <v>0</v>
      </c>
      <c r="BD11" s="136">
        <v>70000</v>
      </c>
      <c r="BE11" s="138">
        <v>45911</v>
      </c>
      <c r="BF11" s="138">
        <v>45920</v>
      </c>
      <c r="BG11" s="131">
        <v>0.71</v>
      </c>
      <c r="BH11" s="137" t="s">
        <v>115</v>
      </c>
      <c r="BI11" s="50"/>
      <c r="BJ11" s="51">
        <v>19.448148011020599</v>
      </c>
      <c r="BK11" s="51">
        <v>12.00789688125143</v>
      </c>
      <c r="BL11" s="51">
        <v>5.9409138498528753</v>
      </c>
      <c r="BM11" s="51">
        <v>5.3981261120336237</v>
      </c>
      <c r="BN11" s="51">
        <v>1.8581428571428571</v>
      </c>
      <c r="BO11" s="51">
        <v>1.747402645266763</v>
      </c>
      <c r="BP11" s="52">
        <v>5975.0434692701583</v>
      </c>
      <c r="BQ11" s="52">
        <v>5482.2970561862167</v>
      </c>
      <c r="BR11" s="52">
        <v>5186.2348028013812</v>
      </c>
      <c r="BS11" s="25">
        <v>-5.8000000000000003E-2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26">
        <v>-0.84922350877843022</v>
      </c>
      <c r="CA11" s="27">
        <v>-0.84922350877843022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30">
        <v>2000</v>
      </c>
      <c r="CH11" s="31">
        <v>0</v>
      </c>
      <c r="CI11" s="31">
        <v>0</v>
      </c>
      <c r="CJ11" s="31">
        <v>0</v>
      </c>
      <c r="CK11" s="31">
        <v>0</v>
      </c>
    </row>
    <row r="12" spans="1:89">
      <c r="A12" s="134">
        <v>9</v>
      </c>
      <c r="B12" s="125">
        <v>0</v>
      </c>
      <c r="C12" s="148">
        <v>45901</v>
      </c>
      <c r="D12" s="134" t="s">
        <v>97</v>
      </c>
      <c r="E12" s="132" t="s">
        <v>98</v>
      </c>
      <c r="F12" s="135" t="s">
        <v>141</v>
      </c>
      <c r="G12" s="135" t="s">
        <v>145</v>
      </c>
      <c r="H12" s="135" t="s">
        <v>146</v>
      </c>
      <c r="I12" s="135" t="s">
        <v>102</v>
      </c>
      <c r="J12" s="128">
        <v>45913</v>
      </c>
      <c r="K12" s="128">
        <v>45915.548611111109</v>
      </c>
      <c r="L12" s="128">
        <v>45917.006944444453</v>
      </c>
      <c r="M12" s="35">
        <v>43700</v>
      </c>
      <c r="N12" s="35"/>
      <c r="O12" s="35"/>
      <c r="P12" s="35">
        <v>7500</v>
      </c>
      <c r="Q12" s="35">
        <v>0</v>
      </c>
      <c r="R12" s="35"/>
      <c r="S12" s="35"/>
      <c r="T12" s="35"/>
      <c r="U12" s="35">
        <v>15000</v>
      </c>
      <c r="V12" s="35"/>
      <c r="W12" s="35"/>
      <c r="X12" s="35"/>
      <c r="Y12" s="35"/>
      <c r="Z12" s="22">
        <v>0</v>
      </c>
      <c r="AA12" s="35">
        <v>0</v>
      </c>
      <c r="AB12" s="35">
        <v>7500</v>
      </c>
      <c r="AC12" s="35"/>
      <c r="AD12" s="23">
        <v>0</v>
      </c>
      <c r="AE12" s="23">
        <v>0</v>
      </c>
      <c r="AF12" s="35">
        <v>0</v>
      </c>
      <c r="AG12" s="23">
        <v>0</v>
      </c>
      <c r="AH12" s="35"/>
      <c r="AI12" s="35"/>
      <c r="AJ12" s="23">
        <v>0</v>
      </c>
      <c r="AK12" s="23">
        <v>0</v>
      </c>
      <c r="AL12" s="23">
        <v>0</v>
      </c>
      <c r="AM12" s="35"/>
      <c r="AN12" s="35"/>
      <c r="AO12" s="21"/>
      <c r="AP12" s="35"/>
      <c r="AQ12" s="35"/>
      <c r="AR12" s="23">
        <v>0</v>
      </c>
      <c r="AS12" s="35"/>
      <c r="AT12" s="35"/>
      <c r="AU12" s="23">
        <v>0</v>
      </c>
      <c r="AV12" s="21">
        <v>0</v>
      </c>
      <c r="AW12" s="111"/>
      <c r="AX12" s="35"/>
      <c r="AY12" s="23">
        <v>0</v>
      </c>
      <c r="AZ12" s="23">
        <v>0</v>
      </c>
      <c r="BA12" s="23">
        <v>0</v>
      </c>
      <c r="BB12" s="35">
        <v>0</v>
      </c>
      <c r="BC12" s="35">
        <v>0</v>
      </c>
      <c r="BD12" s="136">
        <v>70000</v>
      </c>
      <c r="BE12" s="138">
        <v>45913</v>
      </c>
      <c r="BF12" s="138">
        <v>45922</v>
      </c>
      <c r="BG12" s="126">
        <v>0.71</v>
      </c>
      <c r="BH12" s="137" t="s">
        <v>115</v>
      </c>
      <c r="BI12" s="50"/>
      <c r="BJ12" s="51">
        <v>19.320851394122649</v>
      </c>
      <c r="BK12" s="51">
        <v>11.977307817972941</v>
      </c>
      <c r="BL12" s="51">
        <v>6.2904124544322961</v>
      </c>
      <c r="BM12" s="51">
        <v>5.652556287418248</v>
      </c>
      <c r="BN12" s="51">
        <v>1.833218536102283</v>
      </c>
      <c r="BO12" s="51">
        <v>1.7269155030744039</v>
      </c>
      <c r="BP12" s="52">
        <v>5949.7318907562403</v>
      </c>
      <c r="BQ12" s="52">
        <v>5468.9099489149794</v>
      </c>
      <c r="BR12" s="52">
        <v>5155.0712279113841</v>
      </c>
      <c r="BS12" s="25">
        <v>2.58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26">
        <v>-0.91992412782669164</v>
      </c>
      <c r="CA12" s="27">
        <v>-0.91992412782669164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30">
        <v>1800</v>
      </c>
      <c r="CH12" s="32">
        <v>0</v>
      </c>
      <c r="CI12" s="32">
        <v>0</v>
      </c>
      <c r="CJ12" s="32">
        <v>0</v>
      </c>
      <c r="CK12" s="32">
        <v>0</v>
      </c>
    </row>
    <row r="13" spans="1:89">
      <c r="A13" s="179">
        <v>10</v>
      </c>
      <c r="B13" s="161">
        <v>0</v>
      </c>
      <c r="C13" s="148">
        <v>45901</v>
      </c>
      <c r="D13" s="179" t="s">
        <v>148</v>
      </c>
      <c r="E13" s="162" t="s">
        <v>98</v>
      </c>
      <c r="F13" s="180" t="s">
        <v>141</v>
      </c>
      <c r="G13" s="180" t="s">
        <v>149</v>
      </c>
      <c r="H13" s="180" t="s">
        <v>150</v>
      </c>
      <c r="I13" s="181" t="s">
        <v>102</v>
      </c>
      <c r="J13" s="163">
        <v>45913</v>
      </c>
      <c r="K13" s="163">
        <v>45918.152777777781</v>
      </c>
      <c r="L13" s="163">
        <v>45919.298611111109</v>
      </c>
      <c r="M13" s="164"/>
      <c r="N13" s="164"/>
      <c r="O13" s="164"/>
      <c r="P13" s="164"/>
      <c r="Q13" s="164"/>
      <c r="R13" s="164"/>
      <c r="S13" s="164"/>
      <c r="T13" s="164"/>
      <c r="U13" s="147"/>
      <c r="V13" s="164"/>
      <c r="W13" s="164"/>
      <c r="X13" s="164"/>
      <c r="Y13" s="164"/>
      <c r="Z13" s="165"/>
      <c r="AA13" s="164"/>
      <c r="AB13" s="164"/>
      <c r="AC13" s="164"/>
      <c r="AD13" s="165"/>
      <c r="AE13" s="165"/>
      <c r="AF13" s="164"/>
      <c r="AG13" s="165"/>
      <c r="AH13" s="164"/>
      <c r="AI13" s="164"/>
      <c r="AJ13" s="165"/>
      <c r="AK13" s="165"/>
      <c r="AL13" s="165"/>
      <c r="AM13" s="164"/>
      <c r="AN13" s="164"/>
      <c r="AO13" s="155"/>
      <c r="AP13" s="164"/>
      <c r="AQ13" s="164"/>
      <c r="AR13" s="165"/>
      <c r="AS13" s="164"/>
      <c r="AT13" s="164"/>
      <c r="AU13" s="165"/>
      <c r="AV13" s="155"/>
      <c r="AW13" s="155"/>
      <c r="AX13" s="164"/>
      <c r="AY13" s="165"/>
      <c r="AZ13" s="165"/>
      <c r="BA13" s="165"/>
      <c r="BB13" s="164"/>
      <c r="BC13" s="164"/>
      <c r="BD13" s="177">
        <v>55000</v>
      </c>
      <c r="BE13" s="178">
        <v>45913</v>
      </c>
      <c r="BF13" s="178">
        <v>45922</v>
      </c>
      <c r="BG13" s="158">
        <v>0.68181818181818177</v>
      </c>
      <c r="BH13" s="150" t="s">
        <v>115</v>
      </c>
      <c r="BI13" s="159"/>
      <c r="BJ13" s="182">
        <v>15.41179424896125</v>
      </c>
      <c r="BK13" s="182">
        <v>8.1214915472202414</v>
      </c>
      <c r="BL13" s="182">
        <v>5.9071910192150714</v>
      </c>
      <c r="BM13" s="182">
        <v>5.4369525769158074</v>
      </c>
      <c r="BN13" s="182">
        <v>0.85716666626110105</v>
      </c>
      <c r="BO13" s="182">
        <v>0.79615667965869608</v>
      </c>
      <c r="BP13" s="183">
        <v>6539.2974197833564</v>
      </c>
      <c r="BQ13" s="183">
        <v>6026.7091401780845</v>
      </c>
      <c r="BR13" s="183">
        <v>5713.7752591228618</v>
      </c>
      <c r="BS13" s="184"/>
      <c r="BT13" s="185"/>
      <c r="BU13" s="185"/>
      <c r="BV13" s="186"/>
      <c r="BW13" s="186"/>
      <c r="BX13" s="186"/>
      <c r="BY13" s="186"/>
      <c r="BZ13" s="187"/>
      <c r="CA13" s="188"/>
      <c r="CB13" s="185"/>
      <c r="CC13" s="186"/>
      <c r="CD13" s="186"/>
      <c r="CE13" s="186"/>
      <c r="CF13" s="186"/>
      <c r="CG13" s="160"/>
      <c r="CH13" s="186"/>
      <c r="CI13" s="186"/>
      <c r="CJ13" s="186"/>
      <c r="CK13" s="186"/>
    </row>
    <row r="14" spans="1:89">
      <c r="A14" s="179">
        <v>11</v>
      </c>
      <c r="B14" s="161">
        <v>0</v>
      </c>
      <c r="C14" s="148">
        <v>45901</v>
      </c>
      <c r="D14" s="179" t="s">
        <v>97</v>
      </c>
      <c r="E14" s="162" t="s">
        <v>98</v>
      </c>
      <c r="F14" s="180" t="s">
        <v>141</v>
      </c>
      <c r="G14" s="180" t="s">
        <v>145</v>
      </c>
      <c r="H14" s="180" t="s">
        <v>153</v>
      </c>
      <c r="I14" s="181" t="s">
        <v>102</v>
      </c>
      <c r="J14" s="163">
        <v>45915</v>
      </c>
      <c r="K14" s="163">
        <v>45919.444444444453</v>
      </c>
      <c r="L14" s="163">
        <v>45920.902777777781</v>
      </c>
      <c r="M14" s="164"/>
      <c r="N14" s="164"/>
      <c r="O14" s="164"/>
      <c r="P14" s="164"/>
      <c r="Q14" s="164"/>
      <c r="R14" s="164"/>
      <c r="S14" s="164"/>
      <c r="T14" s="164"/>
      <c r="U14" s="147"/>
      <c r="V14" s="164"/>
      <c r="W14" s="164"/>
      <c r="X14" s="164"/>
      <c r="Y14" s="164"/>
      <c r="Z14" s="165"/>
      <c r="AA14" s="164"/>
      <c r="AB14" s="164"/>
      <c r="AC14" s="164"/>
      <c r="AD14" s="165"/>
      <c r="AE14" s="165"/>
      <c r="AF14" s="164"/>
      <c r="AG14" s="165"/>
      <c r="AH14" s="164"/>
      <c r="AI14" s="164"/>
      <c r="AJ14" s="165"/>
      <c r="AK14" s="165"/>
      <c r="AL14" s="165"/>
      <c r="AM14" s="164"/>
      <c r="AN14" s="164"/>
      <c r="AO14" s="155"/>
      <c r="AP14" s="164"/>
      <c r="AQ14" s="164"/>
      <c r="AR14" s="165"/>
      <c r="AS14" s="164"/>
      <c r="AT14" s="164"/>
      <c r="AU14" s="165"/>
      <c r="AV14" s="155"/>
      <c r="AW14" s="155"/>
      <c r="AX14" s="164"/>
      <c r="AY14" s="165"/>
      <c r="AZ14" s="165"/>
      <c r="BA14" s="165"/>
      <c r="BB14" s="164"/>
      <c r="BC14" s="164"/>
      <c r="BD14" s="177">
        <v>70000</v>
      </c>
      <c r="BE14" s="178">
        <v>45915</v>
      </c>
      <c r="BF14" s="178">
        <v>45924</v>
      </c>
      <c r="BG14" s="158">
        <v>0.81714285714285717</v>
      </c>
      <c r="BH14" s="150" t="s">
        <v>115</v>
      </c>
      <c r="BI14" s="159"/>
      <c r="BJ14" s="182">
        <v>19.280825062664199</v>
      </c>
      <c r="BK14" s="182">
        <v>11.91746645089917</v>
      </c>
      <c r="BL14" s="182">
        <v>6.3082996894325367</v>
      </c>
      <c r="BM14" s="182">
        <v>5.6515255977564962</v>
      </c>
      <c r="BN14" s="182">
        <v>1.9991400075308541</v>
      </c>
      <c r="BO14" s="182">
        <v>1.888603989961974</v>
      </c>
      <c r="BP14" s="183">
        <v>5959.8222055811984</v>
      </c>
      <c r="BQ14" s="183">
        <v>5479.9040953792564</v>
      </c>
      <c r="BR14" s="183">
        <v>5168.5399554991127</v>
      </c>
      <c r="BS14" s="184"/>
      <c r="BT14" s="185"/>
      <c r="BU14" s="185"/>
      <c r="BV14" s="186"/>
      <c r="BW14" s="186"/>
      <c r="BX14" s="186"/>
      <c r="BY14" s="186"/>
      <c r="BZ14" s="187"/>
      <c r="CA14" s="188"/>
      <c r="CB14" s="185"/>
      <c r="CC14" s="186"/>
      <c r="CD14" s="186"/>
      <c r="CE14" s="186"/>
      <c r="CF14" s="186"/>
      <c r="CG14" s="160"/>
      <c r="CH14" s="186"/>
      <c r="CI14" s="186"/>
      <c r="CJ14" s="186"/>
      <c r="CK14" s="186"/>
    </row>
    <row r="15" spans="1:89">
      <c r="A15" s="179">
        <v>12</v>
      </c>
      <c r="B15" s="161">
        <v>0</v>
      </c>
      <c r="C15" s="122">
        <v>45901</v>
      </c>
      <c r="D15" s="179" t="s">
        <v>155</v>
      </c>
      <c r="E15" s="162" t="s">
        <v>98</v>
      </c>
      <c r="F15" s="180" t="s">
        <v>156</v>
      </c>
      <c r="G15" s="180" t="s">
        <v>157</v>
      </c>
      <c r="H15" s="180" t="s">
        <v>158</v>
      </c>
      <c r="I15" s="181" t="s">
        <v>102</v>
      </c>
      <c r="J15" s="163">
        <v>45916</v>
      </c>
      <c r="K15" s="163">
        <v>45921.208333333343</v>
      </c>
      <c r="L15" s="163">
        <v>45922.736111111109</v>
      </c>
      <c r="M15" s="164"/>
      <c r="N15" s="164"/>
      <c r="O15" s="164"/>
      <c r="P15" s="164"/>
      <c r="Q15" s="164"/>
      <c r="R15" s="164"/>
      <c r="S15" s="164"/>
      <c r="T15" s="164"/>
      <c r="U15" s="147"/>
      <c r="V15" s="164"/>
      <c r="W15" s="164"/>
      <c r="X15" s="164"/>
      <c r="Y15" s="164"/>
      <c r="Z15" s="165"/>
      <c r="AA15" s="164"/>
      <c r="AB15" s="164"/>
      <c r="AC15" s="164"/>
      <c r="AD15" s="165"/>
      <c r="AE15" s="165"/>
      <c r="AF15" s="164"/>
      <c r="AG15" s="165"/>
      <c r="AH15" s="164"/>
      <c r="AI15" s="164"/>
      <c r="AJ15" s="165"/>
      <c r="AK15" s="165"/>
      <c r="AL15" s="165"/>
      <c r="AM15" s="164"/>
      <c r="AN15" s="164"/>
      <c r="AO15" s="155"/>
      <c r="AP15" s="164"/>
      <c r="AQ15" s="164"/>
      <c r="AR15" s="165"/>
      <c r="AS15" s="164"/>
      <c r="AT15" s="164"/>
      <c r="AU15" s="165"/>
      <c r="AV15" s="155"/>
      <c r="AW15" s="155"/>
      <c r="AX15" s="164"/>
      <c r="AY15" s="165"/>
      <c r="AZ15" s="165"/>
      <c r="BA15" s="165"/>
      <c r="BB15" s="164"/>
      <c r="BC15" s="164"/>
      <c r="BD15" s="177">
        <v>55000</v>
      </c>
      <c r="BE15" s="178">
        <v>45916</v>
      </c>
      <c r="BF15" s="178">
        <v>45925</v>
      </c>
      <c r="BG15" s="158">
        <v>0.38545454545454538</v>
      </c>
      <c r="BH15" s="150" t="s">
        <v>115</v>
      </c>
      <c r="BI15" s="159"/>
      <c r="BJ15" s="182">
        <v>27.489847960956808</v>
      </c>
      <c r="BK15" s="182">
        <v>13.80157796512286</v>
      </c>
      <c r="BL15" s="182">
        <v>6.0828840456338966</v>
      </c>
      <c r="BM15" s="182">
        <v>4.9624930098338558</v>
      </c>
      <c r="BN15" s="182">
        <v>0.90830921573415824</v>
      </c>
      <c r="BO15" s="182">
        <v>0.83552197913408022</v>
      </c>
      <c r="BP15" s="183">
        <v>5703.1675142179702</v>
      </c>
      <c r="BQ15" s="183">
        <v>4833.1775880164514</v>
      </c>
      <c r="BR15" s="183">
        <v>4499.9562060733151</v>
      </c>
      <c r="BS15" s="184"/>
      <c r="BT15" s="185"/>
      <c r="BU15" s="185"/>
      <c r="BV15" s="186"/>
      <c r="BW15" s="186"/>
      <c r="BX15" s="186"/>
      <c r="BY15" s="186"/>
      <c r="BZ15" s="187"/>
      <c r="CA15" s="188"/>
      <c r="CB15" s="185"/>
      <c r="CC15" s="186"/>
      <c r="CD15" s="186"/>
      <c r="CE15" s="186"/>
      <c r="CF15" s="186"/>
      <c r="CG15" s="160"/>
      <c r="CH15" s="186"/>
      <c r="CI15" s="186"/>
      <c r="CJ15" s="186"/>
      <c r="CK15" s="186"/>
    </row>
    <row r="16" spans="1:89">
      <c r="A16" s="179">
        <v>13</v>
      </c>
      <c r="B16" s="161">
        <v>0</v>
      </c>
      <c r="C16" s="148">
        <v>45901</v>
      </c>
      <c r="D16" s="179" t="s">
        <v>97</v>
      </c>
      <c r="E16" s="162" t="s">
        <v>98</v>
      </c>
      <c r="F16" s="180" t="s">
        <v>141</v>
      </c>
      <c r="G16" s="180" t="s">
        <v>110</v>
      </c>
      <c r="H16" s="180" t="s">
        <v>162</v>
      </c>
      <c r="I16" s="181" t="s">
        <v>102</v>
      </c>
      <c r="J16" s="163">
        <v>45918</v>
      </c>
      <c r="K16" s="163">
        <v>45922.875</v>
      </c>
      <c r="L16" s="163">
        <v>45924.4375</v>
      </c>
      <c r="M16" s="164"/>
      <c r="N16" s="164"/>
      <c r="O16" s="164"/>
      <c r="P16" s="164"/>
      <c r="Q16" s="164"/>
      <c r="R16" s="164"/>
      <c r="S16" s="164"/>
      <c r="T16" s="164"/>
      <c r="U16" s="147"/>
      <c r="V16" s="164"/>
      <c r="W16" s="164"/>
      <c r="X16" s="164"/>
      <c r="Y16" s="164"/>
      <c r="Z16" s="165"/>
      <c r="AA16" s="164"/>
      <c r="AB16" s="164"/>
      <c r="AC16" s="164"/>
      <c r="AD16" s="165"/>
      <c r="AE16" s="165"/>
      <c r="AF16" s="164"/>
      <c r="AG16" s="165"/>
      <c r="AH16" s="164"/>
      <c r="AI16" s="164"/>
      <c r="AJ16" s="165"/>
      <c r="AK16" s="165"/>
      <c r="AL16" s="165"/>
      <c r="AM16" s="164"/>
      <c r="AN16" s="164"/>
      <c r="AO16" s="155"/>
      <c r="AP16" s="164"/>
      <c r="AQ16" s="164"/>
      <c r="AR16" s="165"/>
      <c r="AS16" s="164"/>
      <c r="AT16" s="164"/>
      <c r="AU16" s="165"/>
      <c r="AV16" s="155"/>
      <c r="AW16" s="155"/>
      <c r="AX16" s="164"/>
      <c r="AY16" s="165"/>
      <c r="AZ16" s="165"/>
      <c r="BA16" s="165"/>
      <c r="BB16" s="164"/>
      <c r="BC16" s="164"/>
      <c r="BD16" s="177">
        <v>75000</v>
      </c>
      <c r="BE16" s="178">
        <v>45918</v>
      </c>
      <c r="BF16" s="178">
        <v>45927</v>
      </c>
      <c r="BG16" s="158">
        <v>0.7</v>
      </c>
      <c r="BH16" s="150" t="s">
        <v>115</v>
      </c>
      <c r="BI16" s="159"/>
      <c r="BJ16" s="182">
        <v>20.067</v>
      </c>
      <c r="BK16" s="182">
        <v>11.967000000000001</v>
      </c>
      <c r="BL16" s="182">
        <v>5.3048618593497299</v>
      </c>
      <c r="BM16" s="182">
        <v>4.8610471480684634</v>
      </c>
      <c r="BN16" s="182">
        <v>1.7963360548733269</v>
      </c>
      <c r="BO16" s="182">
        <v>1.6989920169480379</v>
      </c>
      <c r="BP16" s="183">
        <v>5963.3</v>
      </c>
      <c r="BQ16" s="183">
        <v>5426.3902251451318</v>
      </c>
      <c r="BR16" s="183">
        <v>5106.3805786171324</v>
      </c>
      <c r="BS16" s="184"/>
      <c r="BT16" s="185"/>
      <c r="BU16" s="185"/>
      <c r="BV16" s="186"/>
      <c r="BW16" s="186"/>
      <c r="BX16" s="186"/>
      <c r="BY16" s="186"/>
      <c r="BZ16" s="187"/>
      <c r="CA16" s="188"/>
      <c r="CB16" s="185"/>
      <c r="CC16" s="186"/>
      <c r="CD16" s="186"/>
      <c r="CE16" s="186"/>
      <c r="CF16" s="186"/>
      <c r="CG16" s="160"/>
      <c r="CH16" s="186"/>
      <c r="CI16" s="186"/>
      <c r="CJ16" s="186"/>
      <c r="CK16" s="186"/>
    </row>
    <row r="17" spans="1:89">
      <c r="A17" s="179">
        <v>14</v>
      </c>
      <c r="B17" s="161">
        <v>0</v>
      </c>
      <c r="C17" s="148">
        <v>45901</v>
      </c>
      <c r="D17" s="179" t="s">
        <v>97</v>
      </c>
      <c r="E17" s="162" t="s">
        <v>98</v>
      </c>
      <c r="F17" s="180" t="s">
        <v>164</v>
      </c>
      <c r="G17" s="180" t="s">
        <v>165</v>
      </c>
      <c r="H17" s="180" t="s">
        <v>166</v>
      </c>
      <c r="I17" s="181" t="s">
        <v>102</v>
      </c>
      <c r="J17" s="163">
        <v>45921</v>
      </c>
      <c r="K17" s="163">
        <v>45924.583333333343</v>
      </c>
      <c r="L17" s="163">
        <v>45926.145833333343</v>
      </c>
      <c r="M17" s="164"/>
      <c r="N17" s="164"/>
      <c r="O17" s="164"/>
      <c r="P17" s="164"/>
      <c r="Q17" s="164"/>
      <c r="R17" s="164"/>
      <c r="S17" s="164"/>
      <c r="T17" s="164"/>
      <c r="U17" s="147"/>
      <c r="V17" s="164"/>
      <c r="W17" s="164"/>
      <c r="X17" s="164"/>
      <c r="Y17" s="164"/>
      <c r="Z17" s="165"/>
      <c r="AA17" s="164"/>
      <c r="AB17" s="164"/>
      <c r="AC17" s="164"/>
      <c r="AD17" s="165"/>
      <c r="AE17" s="165"/>
      <c r="AF17" s="164"/>
      <c r="AG17" s="165"/>
      <c r="AH17" s="164"/>
      <c r="AI17" s="164"/>
      <c r="AJ17" s="165"/>
      <c r="AK17" s="165"/>
      <c r="AL17" s="165"/>
      <c r="AM17" s="164"/>
      <c r="AN17" s="164"/>
      <c r="AO17" s="155"/>
      <c r="AP17" s="164"/>
      <c r="AQ17" s="164"/>
      <c r="AR17" s="165"/>
      <c r="AS17" s="164"/>
      <c r="AT17" s="164"/>
      <c r="AU17" s="165"/>
      <c r="AV17" s="155"/>
      <c r="AW17" s="155"/>
      <c r="AX17" s="164"/>
      <c r="AY17" s="165"/>
      <c r="AZ17" s="165"/>
      <c r="BA17" s="165"/>
      <c r="BB17" s="164"/>
      <c r="BC17" s="164"/>
      <c r="BD17" s="177">
        <v>75000</v>
      </c>
      <c r="BE17" s="178">
        <v>45917</v>
      </c>
      <c r="BF17" s="178">
        <v>45926</v>
      </c>
      <c r="BG17" s="158">
        <v>0.7</v>
      </c>
      <c r="BH17" s="150" t="s">
        <v>115</v>
      </c>
      <c r="BI17" s="159"/>
      <c r="BJ17" s="182">
        <v>14.687337981589909</v>
      </c>
      <c r="BK17" s="182">
        <v>9.6671359765266924</v>
      </c>
      <c r="BL17" s="182">
        <v>5.5927279583130236</v>
      </c>
      <c r="BM17" s="182">
        <v>5.2822961923461049</v>
      </c>
      <c r="BN17" s="182">
        <v>1.0282882855098161</v>
      </c>
      <c r="BO17" s="182">
        <v>0.97161338857340118</v>
      </c>
      <c r="BP17" s="183">
        <v>6501.5604368833183</v>
      </c>
      <c r="BQ17" s="183">
        <v>6139.9327217736436</v>
      </c>
      <c r="BR17" s="183">
        <v>5837.6139780397152</v>
      </c>
      <c r="BS17" s="184"/>
      <c r="BT17" s="185"/>
      <c r="BU17" s="185"/>
      <c r="BV17" s="186"/>
      <c r="BW17" s="186"/>
      <c r="BX17" s="186"/>
      <c r="BY17" s="186"/>
      <c r="BZ17" s="187"/>
      <c r="CA17" s="188"/>
      <c r="CB17" s="185"/>
      <c r="CC17" s="186"/>
      <c r="CD17" s="186"/>
      <c r="CE17" s="186"/>
      <c r="CF17" s="186"/>
      <c r="CG17" s="160"/>
      <c r="CH17" s="186"/>
      <c r="CI17" s="186"/>
      <c r="CJ17" s="186"/>
      <c r="CK17" s="186"/>
    </row>
    <row r="18" spans="1:89">
      <c r="A18" s="179">
        <v>15</v>
      </c>
      <c r="B18" s="161">
        <v>0</v>
      </c>
      <c r="C18" s="148">
        <v>45901</v>
      </c>
      <c r="D18" s="179" t="s">
        <v>97</v>
      </c>
      <c r="E18" s="162" t="s">
        <v>98</v>
      </c>
      <c r="F18" s="180" t="s">
        <v>141</v>
      </c>
      <c r="G18" s="180" t="s">
        <v>100</v>
      </c>
      <c r="H18" s="180" t="s">
        <v>168</v>
      </c>
      <c r="I18" s="181" t="s">
        <v>102</v>
      </c>
      <c r="J18" s="163">
        <v>45924</v>
      </c>
      <c r="K18" s="163">
        <v>45926.291666666657</v>
      </c>
      <c r="L18" s="163">
        <v>45927.4375</v>
      </c>
      <c r="M18" s="164"/>
      <c r="N18" s="164"/>
      <c r="O18" s="164"/>
      <c r="P18" s="164"/>
      <c r="Q18" s="164"/>
      <c r="R18" s="164"/>
      <c r="S18" s="164"/>
      <c r="T18" s="164"/>
      <c r="U18" s="147"/>
      <c r="V18" s="164"/>
      <c r="W18" s="164"/>
      <c r="X18" s="164"/>
      <c r="Y18" s="164"/>
      <c r="Z18" s="165"/>
      <c r="AA18" s="164"/>
      <c r="AB18" s="164"/>
      <c r="AC18" s="164"/>
      <c r="AD18" s="165"/>
      <c r="AE18" s="165"/>
      <c r="AF18" s="164"/>
      <c r="AG18" s="165"/>
      <c r="AH18" s="164"/>
      <c r="AI18" s="164"/>
      <c r="AJ18" s="165"/>
      <c r="AK18" s="165"/>
      <c r="AL18" s="165"/>
      <c r="AM18" s="164"/>
      <c r="AN18" s="164"/>
      <c r="AO18" s="155"/>
      <c r="AP18" s="164"/>
      <c r="AQ18" s="164"/>
      <c r="AR18" s="165"/>
      <c r="AS18" s="164"/>
      <c r="AT18" s="164"/>
      <c r="AU18" s="165"/>
      <c r="AV18" s="155"/>
      <c r="AW18" s="155"/>
      <c r="AX18" s="164"/>
      <c r="AY18" s="165"/>
      <c r="AZ18" s="165"/>
      <c r="BA18" s="165"/>
      <c r="BB18" s="164"/>
      <c r="BC18" s="164"/>
      <c r="BD18" s="177">
        <v>55000</v>
      </c>
      <c r="BE18" s="178">
        <v>45924</v>
      </c>
      <c r="BF18" s="178">
        <v>45933</v>
      </c>
      <c r="BG18" s="158">
        <v>1</v>
      </c>
      <c r="BH18" s="150" t="s">
        <v>115</v>
      </c>
      <c r="BI18" s="159"/>
      <c r="BJ18" s="182">
        <v>15.22</v>
      </c>
      <c r="BK18" s="182">
        <v>11.19</v>
      </c>
      <c r="BL18" s="182">
        <v>4.9400000000000004</v>
      </c>
      <c r="BM18" s="182">
        <v>4.7158338024997191</v>
      </c>
      <c r="BN18" s="182">
        <v>2.37</v>
      </c>
      <c r="BO18" s="182">
        <v>2.2624546785271931</v>
      </c>
      <c r="BP18" s="183">
        <v>6095</v>
      </c>
      <c r="BQ18" s="183">
        <v>5818.4224749465147</v>
      </c>
      <c r="BR18" s="183">
        <v>5516.8867147065148</v>
      </c>
      <c r="BS18" s="184"/>
      <c r="BT18" s="185"/>
      <c r="BU18" s="185"/>
      <c r="BV18" s="186"/>
      <c r="BW18" s="186"/>
      <c r="BX18" s="186"/>
      <c r="BY18" s="186"/>
      <c r="BZ18" s="187"/>
      <c r="CA18" s="188"/>
      <c r="CB18" s="185"/>
      <c r="CC18" s="186"/>
      <c r="CD18" s="186"/>
      <c r="CE18" s="186"/>
      <c r="CF18" s="186"/>
      <c r="CG18" s="160"/>
      <c r="CH18" s="186"/>
      <c r="CI18" s="186"/>
      <c r="CJ18" s="186"/>
      <c r="CK18" s="186"/>
    </row>
    <row r="19" spans="1:89">
      <c r="A19" s="179">
        <v>16</v>
      </c>
      <c r="B19" s="161">
        <v>0</v>
      </c>
      <c r="C19" s="148">
        <v>45901</v>
      </c>
      <c r="D19" s="179" t="s">
        <v>133</v>
      </c>
      <c r="E19" s="162" t="s">
        <v>98</v>
      </c>
      <c r="F19" s="180" t="s">
        <v>141</v>
      </c>
      <c r="G19" s="180" t="s">
        <v>170</v>
      </c>
      <c r="H19" s="180" t="s">
        <v>171</v>
      </c>
      <c r="I19" s="181" t="s">
        <v>102</v>
      </c>
      <c r="J19" s="163">
        <v>45923</v>
      </c>
      <c r="K19" s="163">
        <v>45927.604166666657</v>
      </c>
      <c r="L19" s="163">
        <v>45929.0625</v>
      </c>
      <c r="M19" s="164"/>
      <c r="N19" s="164"/>
      <c r="O19" s="164"/>
      <c r="P19" s="164"/>
      <c r="Q19" s="164"/>
      <c r="R19" s="164"/>
      <c r="S19" s="164"/>
      <c r="T19" s="164"/>
      <c r="U19" s="147"/>
      <c r="V19" s="164"/>
      <c r="W19" s="164"/>
      <c r="X19" s="164"/>
      <c r="Y19" s="164"/>
      <c r="Z19" s="165"/>
      <c r="AA19" s="164"/>
      <c r="AB19" s="164"/>
      <c r="AC19" s="164"/>
      <c r="AD19" s="165"/>
      <c r="AE19" s="165"/>
      <c r="AF19" s="164"/>
      <c r="AG19" s="165"/>
      <c r="AH19" s="164"/>
      <c r="AI19" s="164"/>
      <c r="AJ19" s="165"/>
      <c r="AK19" s="165"/>
      <c r="AL19" s="165"/>
      <c r="AM19" s="164"/>
      <c r="AN19" s="164"/>
      <c r="AO19" s="155"/>
      <c r="AP19" s="164"/>
      <c r="AQ19" s="164"/>
      <c r="AR19" s="165"/>
      <c r="AS19" s="164"/>
      <c r="AT19" s="164"/>
      <c r="AU19" s="165"/>
      <c r="AV19" s="155"/>
      <c r="AW19" s="155"/>
      <c r="AX19" s="164"/>
      <c r="AY19" s="165"/>
      <c r="AZ19" s="165"/>
      <c r="BA19" s="165"/>
      <c r="BB19" s="164"/>
      <c r="BC19" s="164"/>
      <c r="BD19" s="177">
        <v>70000</v>
      </c>
      <c r="BE19" s="178">
        <v>45923</v>
      </c>
      <c r="BF19" s="178">
        <v>45932</v>
      </c>
      <c r="BG19" s="158">
        <v>0.8571428571428571</v>
      </c>
      <c r="BH19" s="150" t="s">
        <v>115</v>
      </c>
      <c r="BI19" s="159"/>
      <c r="BJ19" s="182">
        <v>16.68108872415209</v>
      </c>
      <c r="BK19" s="182">
        <v>10.768160717128801</v>
      </c>
      <c r="BL19" s="182">
        <v>4.9447946401007066</v>
      </c>
      <c r="BM19" s="182">
        <v>4.6139009692233648</v>
      </c>
      <c r="BN19" s="182">
        <v>0.95615031479779689</v>
      </c>
      <c r="BO19" s="182">
        <v>0.89777156769746247</v>
      </c>
      <c r="BP19" s="183">
        <v>6429.4312115447947</v>
      </c>
      <c r="BQ19" s="183">
        <v>6006.2374561798424</v>
      </c>
      <c r="BR19" s="183">
        <v>5690.4909903961989</v>
      </c>
      <c r="BS19" s="184"/>
      <c r="BT19" s="185"/>
      <c r="BU19" s="185"/>
      <c r="BV19" s="186"/>
      <c r="BW19" s="186"/>
      <c r="BX19" s="186"/>
      <c r="BY19" s="186"/>
      <c r="BZ19" s="187"/>
      <c r="CA19" s="188"/>
      <c r="CB19" s="185"/>
      <c r="CC19" s="186"/>
      <c r="CD19" s="186"/>
      <c r="CE19" s="186"/>
      <c r="CF19" s="186"/>
      <c r="CG19" s="160"/>
      <c r="CH19" s="186"/>
      <c r="CI19" s="186"/>
      <c r="CJ19" s="186"/>
      <c r="CK19" s="186"/>
    </row>
    <row r="20" spans="1:89">
      <c r="A20" s="179">
        <v>17</v>
      </c>
      <c r="B20" s="161">
        <v>0</v>
      </c>
      <c r="C20" s="148">
        <v>45902</v>
      </c>
      <c r="D20" s="179" t="s">
        <v>97</v>
      </c>
      <c r="E20" s="162" t="s">
        <v>98</v>
      </c>
      <c r="F20" s="180" t="s">
        <v>141</v>
      </c>
      <c r="G20" s="180" t="s">
        <v>175</v>
      </c>
      <c r="H20" s="180" t="s">
        <v>176</v>
      </c>
      <c r="I20" s="181" t="s">
        <v>102</v>
      </c>
      <c r="J20" s="163">
        <v>45926</v>
      </c>
      <c r="K20" s="163">
        <v>45929.208333333343</v>
      </c>
      <c r="L20" s="163">
        <v>45930.625</v>
      </c>
      <c r="M20" s="164"/>
      <c r="N20" s="164"/>
      <c r="O20" s="164"/>
      <c r="P20" s="164"/>
      <c r="Q20" s="164"/>
      <c r="R20" s="164"/>
      <c r="S20" s="164"/>
      <c r="T20" s="164"/>
      <c r="U20" s="147"/>
      <c r="V20" s="164"/>
      <c r="W20" s="164"/>
      <c r="X20" s="164"/>
      <c r="Y20" s="164"/>
      <c r="Z20" s="165"/>
      <c r="AA20" s="164"/>
      <c r="AB20" s="164"/>
      <c r="AC20" s="164"/>
      <c r="AD20" s="165"/>
      <c r="AE20" s="165"/>
      <c r="AF20" s="164"/>
      <c r="AG20" s="165"/>
      <c r="AH20" s="164"/>
      <c r="AI20" s="164"/>
      <c r="AJ20" s="165"/>
      <c r="AK20" s="165"/>
      <c r="AL20" s="165"/>
      <c r="AM20" s="164"/>
      <c r="AN20" s="164"/>
      <c r="AO20" s="155"/>
      <c r="AP20" s="164"/>
      <c r="AQ20" s="164"/>
      <c r="AR20" s="165"/>
      <c r="AS20" s="164"/>
      <c r="AT20" s="164"/>
      <c r="AU20" s="165"/>
      <c r="AV20" s="155"/>
      <c r="AW20" s="155"/>
      <c r="AX20" s="164"/>
      <c r="AY20" s="165"/>
      <c r="AZ20" s="165"/>
      <c r="BA20" s="165"/>
      <c r="BB20" s="164"/>
      <c r="BC20" s="164"/>
      <c r="BD20" s="177">
        <v>68000</v>
      </c>
      <c r="BE20" s="178">
        <v>45926</v>
      </c>
      <c r="BF20" s="178">
        <v>45935</v>
      </c>
      <c r="BG20" s="158">
        <v>0.69705882352941173</v>
      </c>
      <c r="BH20" s="150" t="s">
        <v>115</v>
      </c>
      <c r="BI20" s="159"/>
      <c r="BJ20" s="182">
        <v>22.291132846923311</v>
      </c>
      <c r="BK20" s="182">
        <v>11.8752702691443</v>
      </c>
      <c r="BL20" s="182">
        <v>5.9539076770690036</v>
      </c>
      <c r="BM20" s="182">
        <v>5.2776458455706292</v>
      </c>
      <c r="BN20" s="182">
        <v>1.7789953779009771</v>
      </c>
      <c r="BO20" s="182">
        <v>1.6661088678910929</v>
      </c>
      <c r="BP20" s="183">
        <v>5972.3811540633906</v>
      </c>
      <c r="BQ20" s="183">
        <v>5287.7055367160046</v>
      </c>
      <c r="BR20" s="183">
        <v>4965.8106448250765</v>
      </c>
      <c r="BS20" s="184"/>
      <c r="BT20" s="185"/>
      <c r="BU20" s="185"/>
      <c r="BV20" s="186"/>
      <c r="BW20" s="186"/>
      <c r="BX20" s="186"/>
      <c r="BY20" s="186"/>
      <c r="BZ20" s="187"/>
      <c r="CA20" s="188"/>
      <c r="CB20" s="185"/>
      <c r="CC20" s="186"/>
      <c r="CD20" s="186"/>
      <c r="CE20" s="186"/>
      <c r="CF20" s="186"/>
      <c r="CG20" s="160"/>
      <c r="CH20" s="186"/>
      <c r="CI20" s="186"/>
      <c r="CJ20" s="186"/>
      <c r="CK20" s="186"/>
    </row>
    <row r="21" spans="1:89">
      <c r="A21" s="179">
        <v>18</v>
      </c>
      <c r="B21" s="161">
        <v>0</v>
      </c>
      <c r="C21" s="148">
        <v>45901</v>
      </c>
      <c r="D21" s="179" t="s">
        <v>97</v>
      </c>
      <c r="E21" s="162" t="s">
        <v>179</v>
      </c>
      <c r="F21" s="180" t="s">
        <v>180</v>
      </c>
      <c r="G21" s="180" t="s">
        <v>181</v>
      </c>
      <c r="H21" s="180" t="s">
        <v>182</v>
      </c>
      <c r="I21" s="181" t="s">
        <v>102</v>
      </c>
      <c r="J21" s="163">
        <v>45910</v>
      </c>
      <c r="K21" s="163">
        <v>45910.958333333343</v>
      </c>
      <c r="L21" s="163">
        <v>45911.114583333343</v>
      </c>
      <c r="M21" s="164"/>
      <c r="N21" s="164"/>
      <c r="O21" s="164"/>
      <c r="P21" s="164"/>
      <c r="Q21" s="164"/>
      <c r="R21" s="164"/>
      <c r="S21" s="164"/>
      <c r="T21" s="164"/>
      <c r="U21" s="147"/>
      <c r="V21" s="164"/>
      <c r="W21" s="164"/>
      <c r="X21" s="164"/>
      <c r="Y21" s="164"/>
      <c r="Z21" s="165"/>
      <c r="AA21" s="164"/>
      <c r="AB21" s="164"/>
      <c r="AC21" s="164"/>
      <c r="AD21" s="165"/>
      <c r="AE21" s="165"/>
      <c r="AF21" s="164"/>
      <c r="AG21" s="165"/>
      <c r="AH21" s="164"/>
      <c r="AI21" s="164"/>
      <c r="AJ21" s="165"/>
      <c r="AK21" s="165"/>
      <c r="AL21" s="165"/>
      <c r="AM21" s="164"/>
      <c r="AN21" s="164"/>
      <c r="AO21" s="155"/>
      <c r="AP21" s="164"/>
      <c r="AQ21" s="164"/>
      <c r="AR21" s="165"/>
      <c r="AS21" s="164"/>
      <c r="AT21" s="164"/>
      <c r="AU21" s="165"/>
      <c r="AV21" s="155"/>
      <c r="AW21" s="155"/>
      <c r="AX21" s="164"/>
      <c r="AY21" s="165"/>
      <c r="AZ21" s="165"/>
      <c r="BA21" s="165"/>
      <c r="BB21" s="164"/>
      <c r="BC21" s="164"/>
      <c r="BD21" s="177">
        <v>7500</v>
      </c>
      <c r="BE21" s="178"/>
      <c r="BF21" s="178"/>
      <c r="BG21" s="158">
        <v>1</v>
      </c>
      <c r="BH21" s="150" t="s">
        <v>115</v>
      </c>
      <c r="BI21" s="159"/>
      <c r="BJ21" s="182">
        <v>15.196</v>
      </c>
      <c r="BK21" s="182">
        <v>11.15533333333333</v>
      </c>
      <c r="BL21" s="182">
        <v>4.9746666666666677</v>
      </c>
      <c r="BM21" s="182">
        <v>4.7484089965801477</v>
      </c>
      <c r="BN21" s="182">
        <v>2.1646666666666672</v>
      </c>
      <c r="BO21" s="182">
        <v>2.06627532433123</v>
      </c>
      <c r="BP21" s="183">
        <v>6097.9333333333334</v>
      </c>
      <c r="BQ21" s="183">
        <v>5820.5983990249424</v>
      </c>
      <c r="BR21" s="183">
        <v>5519.4898816009409</v>
      </c>
      <c r="BS21" s="184"/>
      <c r="BT21" s="185"/>
      <c r="BU21" s="185"/>
      <c r="BV21" s="186"/>
      <c r="BW21" s="186"/>
      <c r="BX21" s="186"/>
      <c r="BY21" s="186"/>
      <c r="BZ21" s="187"/>
      <c r="CA21" s="188"/>
      <c r="CB21" s="185"/>
      <c r="CC21" s="186"/>
      <c r="CD21" s="186"/>
      <c r="CE21" s="186"/>
      <c r="CF21" s="186"/>
      <c r="CG21" s="160"/>
      <c r="CH21" s="186"/>
      <c r="CI21" s="186"/>
      <c r="CJ21" s="186"/>
      <c r="CK21" s="186"/>
    </row>
    <row r="22" spans="1:89">
      <c r="A22" s="179">
        <v>19</v>
      </c>
      <c r="B22" s="161">
        <v>0</v>
      </c>
      <c r="C22" s="148">
        <v>45901</v>
      </c>
      <c r="D22" s="179" t="s">
        <v>97</v>
      </c>
      <c r="E22" s="162" t="s">
        <v>179</v>
      </c>
      <c r="F22" s="180" t="s">
        <v>184</v>
      </c>
      <c r="G22" s="180" t="s">
        <v>181</v>
      </c>
      <c r="H22" s="180" t="s">
        <v>185</v>
      </c>
      <c r="I22" s="181" t="s">
        <v>102</v>
      </c>
      <c r="J22" s="163">
        <v>45917</v>
      </c>
      <c r="K22" s="163">
        <v>45921.166666249999</v>
      </c>
      <c r="L22" s="163">
        <v>45921.322916249999</v>
      </c>
      <c r="M22" s="164"/>
      <c r="N22" s="164"/>
      <c r="O22" s="164"/>
      <c r="P22" s="164"/>
      <c r="Q22" s="164"/>
      <c r="R22" s="164"/>
      <c r="S22" s="164"/>
      <c r="T22" s="164"/>
      <c r="U22" s="147"/>
      <c r="V22" s="164"/>
      <c r="W22" s="164"/>
      <c r="X22" s="164"/>
      <c r="Y22" s="164"/>
      <c r="Z22" s="165"/>
      <c r="AA22" s="164"/>
      <c r="AB22" s="164"/>
      <c r="AC22" s="164"/>
      <c r="AD22" s="165"/>
      <c r="AE22" s="165"/>
      <c r="AF22" s="164"/>
      <c r="AG22" s="165"/>
      <c r="AH22" s="164"/>
      <c r="AI22" s="164"/>
      <c r="AJ22" s="165"/>
      <c r="AK22" s="165"/>
      <c r="AL22" s="165"/>
      <c r="AM22" s="164"/>
      <c r="AN22" s="164"/>
      <c r="AO22" s="155"/>
      <c r="AP22" s="164"/>
      <c r="AQ22" s="164"/>
      <c r="AR22" s="165"/>
      <c r="AS22" s="164"/>
      <c r="AT22" s="164"/>
      <c r="AU22" s="165"/>
      <c r="AV22" s="155"/>
      <c r="AW22" s="155"/>
      <c r="AX22" s="164"/>
      <c r="AY22" s="165"/>
      <c r="AZ22" s="165"/>
      <c r="BA22" s="165"/>
      <c r="BB22" s="164"/>
      <c r="BC22" s="164"/>
      <c r="BD22" s="177">
        <v>7500</v>
      </c>
      <c r="BE22" s="178"/>
      <c r="BF22" s="178"/>
      <c r="BG22" s="158">
        <v>1</v>
      </c>
      <c r="BH22" s="150" t="s">
        <v>115</v>
      </c>
      <c r="BI22" s="159"/>
      <c r="BJ22" s="182">
        <v>15.196</v>
      </c>
      <c r="BK22" s="182">
        <v>11.15533333333333</v>
      </c>
      <c r="BL22" s="182">
        <v>4.9746666666666677</v>
      </c>
      <c r="BM22" s="182">
        <v>4.7484089965801477</v>
      </c>
      <c r="BN22" s="182">
        <v>2.1646666666666672</v>
      </c>
      <c r="BO22" s="182">
        <v>2.06627532433123</v>
      </c>
      <c r="BP22" s="183">
        <v>6097.9333333333334</v>
      </c>
      <c r="BQ22" s="183">
        <v>5820.5983990249424</v>
      </c>
      <c r="BR22" s="183">
        <v>5519.4898816009409</v>
      </c>
      <c r="BS22" s="184"/>
      <c r="BT22" s="185"/>
      <c r="BU22" s="185"/>
      <c r="BV22" s="186"/>
      <c r="BW22" s="186"/>
      <c r="BX22" s="186"/>
      <c r="BY22" s="186"/>
      <c r="BZ22" s="187"/>
      <c r="CA22" s="188"/>
      <c r="CB22" s="185"/>
      <c r="CC22" s="186"/>
      <c r="CD22" s="186"/>
      <c r="CE22" s="186"/>
      <c r="CF22" s="186"/>
      <c r="CG22" s="160"/>
      <c r="CH22" s="186"/>
      <c r="CI22" s="186"/>
      <c r="CJ22" s="186"/>
      <c r="CK22" s="186"/>
    </row>
    <row r="23" spans="1:89">
      <c r="A23" s="179">
        <v>20</v>
      </c>
      <c r="B23" s="161">
        <v>0</v>
      </c>
      <c r="C23" s="148">
        <v>45901</v>
      </c>
      <c r="D23" s="179" t="s">
        <v>97</v>
      </c>
      <c r="E23" s="162" t="s">
        <v>179</v>
      </c>
      <c r="F23" s="180" t="s">
        <v>186</v>
      </c>
      <c r="G23" s="180" t="s">
        <v>187</v>
      </c>
      <c r="H23" s="180" t="s">
        <v>188</v>
      </c>
      <c r="I23" s="181" t="s">
        <v>102</v>
      </c>
      <c r="J23" s="163">
        <v>45925</v>
      </c>
      <c r="K23" s="163">
        <v>45929.173608194447</v>
      </c>
      <c r="L23" s="163">
        <v>45929.329858194447</v>
      </c>
      <c r="M23" s="164"/>
      <c r="N23" s="164"/>
      <c r="O23" s="164"/>
      <c r="P23" s="164"/>
      <c r="Q23" s="164"/>
      <c r="R23" s="164"/>
      <c r="S23" s="164"/>
      <c r="T23" s="164"/>
      <c r="U23" s="147"/>
      <c r="V23" s="164"/>
      <c r="W23" s="164"/>
      <c r="X23" s="164"/>
      <c r="Y23" s="164"/>
      <c r="Z23" s="165"/>
      <c r="AA23" s="164"/>
      <c r="AB23" s="164"/>
      <c r="AC23" s="164"/>
      <c r="AD23" s="165"/>
      <c r="AE23" s="165"/>
      <c r="AF23" s="164"/>
      <c r="AG23" s="165"/>
      <c r="AH23" s="164"/>
      <c r="AI23" s="164"/>
      <c r="AJ23" s="165"/>
      <c r="AK23" s="165"/>
      <c r="AL23" s="165"/>
      <c r="AM23" s="164"/>
      <c r="AN23" s="164"/>
      <c r="AO23" s="155"/>
      <c r="AP23" s="164"/>
      <c r="AQ23" s="164"/>
      <c r="AR23" s="165"/>
      <c r="AS23" s="164"/>
      <c r="AT23" s="164"/>
      <c r="AU23" s="165"/>
      <c r="AV23" s="155"/>
      <c r="AW23" s="155"/>
      <c r="AX23" s="164"/>
      <c r="AY23" s="165"/>
      <c r="AZ23" s="165"/>
      <c r="BA23" s="165"/>
      <c r="BB23" s="164"/>
      <c r="BC23" s="164"/>
      <c r="BD23" s="177">
        <v>7500</v>
      </c>
      <c r="BE23" s="178"/>
      <c r="BF23" s="178"/>
      <c r="BG23" s="158">
        <v>1</v>
      </c>
      <c r="BH23" s="150" t="s">
        <v>115</v>
      </c>
      <c r="BI23" s="159"/>
      <c r="BJ23" s="182">
        <v>15.196</v>
      </c>
      <c r="BK23" s="182">
        <v>11.15533333333333</v>
      </c>
      <c r="BL23" s="182">
        <v>4.9746666666666677</v>
      </c>
      <c r="BM23" s="182">
        <v>4.7484089965801477</v>
      </c>
      <c r="BN23" s="182">
        <v>2.1646666666666672</v>
      </c>
      <c r="BO23" s="182">
        <v>2.06627532433123</v>
      </c>
      <c r="BP23" s="183">
        <v>6097.9333333333334</v>
      </c>
      <c r="BQ23" s="183">
        <v>5820.5983990249424</v>
      </c>
      <c r="BR23" s="183">
        <v>5519.4898816009409</v>
      </c>
      <c r="BS23" s="184"/>
      <c r="BT23" s="185"/>
      <c r="BU23" s="185"/>
      <c r="BV23" s="186"/>
      <c r="BW23" s="186"/>
      <c r="BX23" s="186"/>
      <c r="BY23" s="186"/>
      <c r="BZ23" s="187"/>
      <c r="CA23" s="188"/>
      <c r="CB23" s="185"/>
      <c r="CC23" s="186"/>
      <c r="CD23" s="186"/>
      <c r="CE23" s="186"/>
      <c r="CF23" s="186"/>
      <c r="CG23" s="160"/>
      <c r="CH23" s="186"/>
      <c r="CI23" s="186"/>
      <c r="CJ23" s="186"/>
      <c r="CK23" s="186"/>
    </row>
    <row r="24" spans="1:89">
      <c r="A24" s="179">
        <v>21</v>
      </c>
      <c r="B24" s="161">
        <v>0</v>
      </c>
      <c r="C24" s="148">
        <v>45901</v>
      </c>
      <c r="D24" s="179" t="s">
        <v>97</v>
      </c>
      <c r="E24" s="162" t="s">
        <v>189</v>
      </c>
      <c r="F24" s="180" t="s">
        <v>190</v>
      </c>
      <c r="G24" s="180" t="s">
        <v>191</v>
      </c>
      <c r="H24" s="180" t="s">
        <v>192</v>
      </c>
      <c r="I24" s="181" t="s">
        <v>102</v>
      </c>
      <c r="J24" s="163">
        <v>45928</v>
      </c>
      <c r="K24" s="163">
        <v>45928</v>
      </c>
      <c r="L24" s="163">
        <v>45929.666666666657</v>
      </c>
      <c r="M24" s="164"/>
      <c r="N24" s="164"/>
      <c r="O24" s="164"/>
      <c r="P24" s="164"/>
      <c r="Q24" s="164"/>
      <c r="R24" s="164"/>
      <c r="S24" s="164"/>
      <c r="T24" s="164"/>
      <c r="U24" s="147"/>
      <c r="V24" s="164"/>
      <c r="W24" s="164"/>
      <c r="X24" s="164"/>
      <c r="Y24" s="164"/>
      <c r="Z24" s="165"/>
      <c r="AA24" s="164"/>
      <c r="AB24" s="164"/>
      <c r="AC24" s="164"/>
      <c r="AD24" s="165"/>
      <c r="AE24" s="165"/>
      <c r="AF24" s="164"/>
      <c r="AG24" s="165"/>
      <c r="AH24" s="164"/>
      <c r="AI24" s="164"/>
      <c r="AJ24" s="165"/>
      <c r="AK24" s="165"/>
      <c r="AL24" s="165"/>
      <c r="AM24" s="164"/>
      <c r="AN24" s="164"/>
      <c r="AO24" s="155"/>
      <c r="AP24" s="164"/>
      <c r="AQ24" s="164"/>
      <c r="AR24" s="165"/>
      <c r="AS24" s="164"/>
      <c r="AT24" s="164"/>
      <c r="AU24" s="165"/>
      <c r="AV24" s="155"/>
      <c r="AW24" s="155"/>
      <c r="AX24" s="164"/>
      <c r="AY24" s="165"/>
      <c r="AZ24" s="165"/>
      <c r="BA24" s="165"/>
      <c r="BB24" s="164"/>
      <c r="BC24" s="164"/>
      <c r="BD24" s="177">
        <v>2000</v>
      </c>
      <c r="BE24" s="178"/>
      <c r="BF24" s="178"/>
      <c r="BG24" s="158">
        <v>1</v>
      </c>
      <c r="BH24" s="150" t="s">
        <v>115</v>
      </c>
      <c r="BI24" s="159"/>
      <c r="BJ24" s="182">
        <v>15.13</v>
      </c>
      <c r="BK24" s="182">
        <v>11.06</v>
      </c>
      <c r="BL24" s="182">
        <v>5.07</v>
      </c>
      <c r="BM24" s="182">
        <v>4.8379907803013271</v>
      </c>
      <c r="BN24" s="182">
        <v>1.6</v>
      </c>
      <c r="BO24" s="182">
        <v>1.5267821002923321</v>
      </c>
      <c r="BP24" s="183">
        <v>6106</v>
      </c>
      <c r="BQ24" s="183">
        <v>5826.5821902406124</v>
      </c>
      <c r="BR24" s="183">
        <v>5526.6485905606123</v>
      </c>
      <c r="BS24" s="184"/>
      <c r="BT24" s="185"/>
      <c r="BU24" s="185"/>
      <c r="BV24" s="186"/>
      <c r="BW24" s="186"/>
      <c r="BX24" s="186"/>
      <c r="BY24" s="186"/>
      <c r="BZ24" s="187"/>
      <c r="CA24" s="188"/>
      <c r="CB24" s="185"/>
      <c r="CC24" s="186"/>
      <c r="CD24" s="186"/>
      <c r="CE24" s="186"/>
      <c r="CF24" s="186"/>
      <c r="CG24" s="160"/>
      <c r="CH24" s="186"/>
      <c r="CI24" s="186"/>
      <c r="CJ24" s="186"/>
      <c r="CK24" s="186"/>
    </row>
    <row r="25" spans="1:89">
      <c r="A25" s="179">
        <v>22</v>
      </c>
      <c r="B25" s="161">
        <v>1</v>
      </c>
      <c r="C25" s="148">
        <v>45870</v>
      </c>
      <c r="D25" s="179" t="s">
        <v>148</v>
      </c>
      <c r="E25" s="162" t="s">
        <v>98</v>
      </c>
      <c r="F25" s="180" t="s">
        <v>194</v>
      </c>
      <c r="G25" s="180" t="s">
        <v>195</v>
      </c>
      <c r="H25" s="180" t="s">
        <v>196</v>
      </c>
      <c r="I25" s="181" t="s">
        <v>197</v>
      </c>
      <c r="J25" s="163">
        <v>45899.375</v>
      </c>
      <c r="K25" s="163">
        <v>45900.436111111107</v>
      </c>
      <c r="L25" s="163">
        <v>45902.055555555547</v>
      </c>
      <c r="M25" s="164"/>
      <c r="N25" s="164"/>
      <c r="O25" s="164"/>
      <c r="P25" s="164"/>
      <c r="Q25" s="164"/>
      <c r="R25" s="164"/>
      <c r="S25" s="164"/>
      <c r="T25" s="164"/>
      <c r="U25" s="147"/>
      <c r="V25" s="164"/>
      <c r="W25" s="164"/>
      <c r="X25" s="164"/>
      <c r="Y25" s="164"/>
      <c r="Z25" s="165"/>
      <c r="AA25" s="164"/>
      <c r="AB25" s="164"/>
      <c r="AC25" s="164"/>
      <c r="AD25" s="165"/>
      <c r="AE25" s="165"/>
      <c r="AF25" s="164"/>
      <c r="AG25" s="165"/>
      <c r="AH25" s="164"/>
      <c r="AI25" s="164"/>
      <c r="AJ25" s="165"/>
      <c r="AK25" s="165"/>
      <c r="AL25" s="165"/>
      <c r="AM25" s="164"/>
      <c r="AN25" s="164"/>
      <c r="AO25" s="155"/>
      <c r="AP25" s="164"/>
      <c r="AQ25" s="164"/>
      <c r="AR25" s="165"/>
      <c r="AS25" s="164"/>
      <c r="AT25" s="164"/>
      <c r="AU25" s="165"/>
      <c r="AV25" s="155"/>
      <c r="AW25" s="155"/>
      <c r="AX25" s="164"/>
      <c r="AY25" s="165"/>
      <c r="AZ25" s="165"/>
      <c r="BA25" s="165"/>
      <c r="BB25" s="164"/>
      <c r="BC25" s="164"/>
      <c r="BD25" s="177">
        <v>54999.999999999993</v>
      </c>
      <c r="BE25" s="178">
        <v>45897</v>
      </c>
      <c r="BF25" s="178">
        <v>45912</v>
      </c>
      <c r="BG25" s="158">
        <v>0.86363254545454549</v>
      </c>
      <c r="BH25" s="150" t="s">
        <v>108</v>
      </c>
      <c r="BI25" s="159"/>
      <c r="BJ25" s="182">
        <v>12.666262837700691</v>
      </c>
      <c r="BK25" s="182">
        <v>7.6769016956347276</v>
      </c>
      <c r="BL25" s="182">
        <v>5.3712740256123546</v>
      </c>
      <c r="BM25" s="182">
        <v>5.0809975249426271</v>
      </c>
      <c r="BN25" s="182">
        <v>1.2387455690533811</v>
      </c>
      <c r="BO25" s="182">
        <v>1.1718007944449109</v>
      </c>
      <c r="BP25" s="183">
        <v>6728.1561311548039</v>
      </c>
      <c r="BQ25" s="183">
        <v>6364.5504747689274</v>
      </c>
      <c r="BR25" s="183">
        <v>6073.9815148777398</v>
      </c>
      <c r="BS25" s="184"/>
      <c r="BT25" s="185"/>
      <c r="BU25" s="185"/>
      <c r="BV25" s="186"/>
      <c r="BW25" s="186"/>
      <c r="BX25" s="186"/>
      <c r="BY25" s="186"/>
      <c r="BZ25" s="187"/>
      <c r="CA25" s="188"/>
      <c r="CB25" s="185"/>
      <c r="CC25" s="186"/>
      <c r="CD25" s="186"/>
      <c r="CE25" s="186"/>
      <c r="CF25" s="186"/>
      <c r="CG25" s="160"/>
      <c r="CH25" s="186"/>
      <c r="CI25" s="186"/>
      <c r="CJ25" s="186"/>
      <c r="CK25" s="186"/>
    </row>
    <row r="26" spans="1:89">
      <c r="A26" s="179">
        <v>23</v>
      </c>
      <c r="B26" s="161">
        <v>2</v>
      </c>
      <c r="C26" s="148">
        <v>45870</v>
      </c>
      <c r="D26" s="179" t="s">
        <v>155</v>
      </c>
      <c r="E26" s="162" t="s">
        <v>98</v>
      </c>
      <c r="F26" s="180" t="s">
        <v>199</v>
      </c>
      <c r="G26" s="180" t="s">
        <v>128</v>
      </c>
      <c r="H26" s="180" t="s">
        <v>200</v>
      </c>
      <c r="I26" s="181" t="s">
        <v>197</v>
      </c>
      <c r="J26" s="163">
        <v>45895.45</v>
      </c>
      <c r="K26" s="163">
        <v>45899.086805555547</v>
      </c>
      <c r="L26" s="163">
        <v>45903.601091273151</v>
      </c>
      <c r="M26" s="164"/>
      <c r="N26" s="164"/>
      <c r="O26" s="164"/>
      <c r="P26" s="164"/>
      <c r="Q26" s="164"/>
      <c r="R26" s="164"/>
      <c r="S26" s="164"/>
      <c r="T26" s="164"/>
      <c r="U26" s="147"/>
      <c r="V26" s="164"/>
      <c r="W26" s="164"/>
      <c r="X26" s="164"/>
      <c r="Y26" s="164"/>
      <c r="Z26" s="165"/>
      <c r="AA26" s="164"/>
      <c r="AB26" s="164"/>
      <c r="AC26" s="164"/>
      <c r="AD26" s="165"/>
      <c r="AE26" s="165"/>
      <c r="AF26" s="164"/>
      <c r="AG26" s="165"/>
      <c r="AH26" s="164"/>
      <c r="AI26" s="164"/>
      <c r="AJ26" s="165"/>
      <c r="AK26" s="165"/>
      <c r="AL26" s="165"/>
      <c r="AM26" s="164"/>
      <c r="AN26" s="164"/>
      <c r="AO26" s="155"/>
      <c r="AP26" s="164"/>
      <c r="AQ26" s="164"/>
      <c r="AR26" s="165"/>
      <c r="AS26" s="164"/>
      <c r="AT26" s="164"/>
      <c r="AU26" s="165"/>
      <c r="AV26" s="155"/>
      <c r="AW26" s="155"/>
      <c r="AX26" s="164"/>
      <c r="AY26" s="165"/>
      <c r="AZ26" s="165"/>
      <c r="BA26" s="165"/>
      <c r="BB26" s="164"/>
      <c r="BC26" s="164"/>
      <c r="BD26" s="177">
        <v>63200</v>
      </c>
      <c r="BE26" s="178">
        <v>45896</v>
      </c>
      <c r="BF26" s="178">
        <v>45904</v>
      </c>
      <c r="BG26" s="158">
        <v>0.20272151898734181</v>
      </c>
      <c r="BH26" s="150" t="s">
        <v>202</v>
      </c>
      <c r="BI26" s="159"/>
      <c r="BJ26" s="182">
        <v>28.33408229366993</v>
      </c>
      <c r="BK26" s="182">
        <v>15.949878525344021</v>
      </c>
      <c r="BL26" s="182">
        <v>6.0118632205615494</v>
      </c>
      <c r="BM26" s="182">
        <v>5.1260567774002714</v>
      </c>
      <c r="BN26" s="182">
        <v>1.2293045964454961</v>
      </c>
      <c r="BO26" s="182">
        <v>1.0481750710073769</v>
      </c>
      <c r="BP26" s="183">
        <v>5619.2965659179144</v>
      </c>
      <c r="BQ26" s="183">
        <v>4791.3321027378643</v>
      </c>
      <c r="BR26" s="183">
        <v>4449.5453544015036</v>
      </c>
      <c r="BS26" s="184"/>
      <c r="BT26" s="185"/>
      <c r="BU26" s="185"/>
      <c r="BV26" s="186"/>
      <c r="BW26" s="186"/>
      <c r="BX26" s="186"/>
      <c r="BY26" s="186"/>
      <c r="BZ26" s="187"/>
      <c r="CA26" s="188"/>
      <c r="CB26" s="185"/>
      <c r="CC26" s="186"/>
      <c r="CD26" s="186"/>
      <c r="CE26" s="186"/>
      <c r="CF26" s="186"/>
      <c r="CG26" s="160"/>
      <c r="CH26" s="186"/>
      <c r="CI26" s="186"/>
      <c r="CJ26" s="186"/>
      <c r="CK26" s="186"/>
    </row>
    <row r="27" spans="1:89">
      <c r="A27" s="179">
        <v>24</v>
      </c>
      <c r="B27" s="196">
        <v>3</v>
      </c>
      <c r="C27" s="148">
        <v>45870</v>
      </c>
      <c r="D27" s="223" t="s">
        <v>133</v>
      </c>
      <c r="E27" s="197" t="s">
        <v>98</v>
      </c>
      <c r="F27" s="198" t="s">
        <v>203</v>
      </c>
      <c r="G27" s="198" t="s">
        <v>204</v>
      </c>
      <c r="H27" s="198" t="s">
        <v>205</v>
      </c>
      <c r="I27" s="224" t="s">
        <v>197</v>
      </c>
      <c r="J27" s="200">
        <v>45896.604166666657</v>
      </c>
      <c r="K27" s="200">
        <v>45901.520833333343</v>
      </c>
      <c r="L27" s="200">
        <v>45904.496833333331</v>
      </c>
      <c r="M27" s="201"/>
      <c r="N27" s="201"/>
      <c r="O27" s="201"/>
      <c r="P27" s="201"/>
      <c r="Q27" s="201"/>
      <c r="R27" s="201"/>
      <c r="S27" s="201"/>
      <c r="T27" s="201"/>
      <c r="U27" s="147"/>
      <c r="V27" s="201"/>
      <c r="W27" s="201"/>
      <c r="X27" s="201"/>
      <c r="Y27" s="201"/>
      <c r="Z27" s="202"/>
      <c r="AA27" s="201"/>
      <c r="AB27" s="201"/>
      <c r="AC27" s="201"/>
      <c r="AD27" s="202"/>
      <c r="AE27" s="202"/>
      <c r="AF27" s="201"/>
      <c r="AG27" s="202"/>
      <c r="AH27" s="201"/>
      <c r="AI27" s="201"/>
      <c r="AJ27" s="202"/>
      <c r="AK27" s="202"/>
      <c r="AL27" s="202"/>
      <c r="AM27" s="201"/>
      <c r="AN27" s="201"/>
      <c r="AO27" s="203"/>
      <c r="AP27" s="201"/>
      <c r="AQ27" s="201"/>
      <c r="AR27" s="202"/>
      <c r="AS27" s="201"/>
      <c r="AT27" s="201"/>
      <c r="AU27" s="202"/>
      <c r="AV27" s="203"/>
      <c r="AW27" s="203"/>
      <c r="AX27" s="201"/>
      <c r="AY27" s="202"/>
      <c r="AZ27" s="202"/>
      <c r="BA27" s="202"/>
      <c r="BB27" s="201"/>
      <c r="BC27" s="201"/>
      <c r="BD27" s="177">
        <v>74400.000000000015</v>
      </c>
      <c r="BE27" s="178">
        <v>45891</v>
      </c>
      <c r="BF27" s="178">
        <v>45917</v>
      </c>
      <c r="BG27" s="205">
        <v>0.7983017473118279</v>
      </c>
      <c r="BH27" s="150" t="s">
        <v>202</v>
      </c>
      <c r="BI27" s="207"/>
      <c r="BJ27" s="208">
        <v>17.04179814784947</v>
      </c>
      <c r="BK27" s="208">
        <v>10.8016090281935</v>
      </c>
      <c r="BL27" s="208">
        <v>5.2420177929086256</v>
      </c>
      <c r="BM27" s="208">
        <v>4.8752938863452142</v>
      </c>
      <c r="BN27" s="208">
        <v>1.216106244506308</v>
      </c>
      <c r="BO27" s="208">
        <v>1.1310292282884651</v>
      </c>
      <c r="BP27" s="209">
        <v>6374.5056565913192</v>
      </c>
      <c r="BQ27" s="209">
        <v>5928.5545535717656</v>
      </c>
      <c r="BR27" s="209">
        <v>5623.6820562624089</v>
      </c>
      <c r="BS27" s="210"/>
      <c r="BT27" s="221"/>
      <c r="BU27" s="221"/>
      <c r="BV27" s="211"/>
      <c r="BW27" s="211"/>
      <c r="BX27" s="211"/>
      <c r="BY27" s="211"/>
      <c r="BZ27" s="212"/>
      <c r="CA27" s="222"/>
      <c r="CB27" s="221"/>
      <c r="CC27" s="211"/>
      <c r="CD27" s="211"/>
      <c r="CE27" s="211"/>
      <c r="CF27" s="211"/>
      <c r="CG27" s="214"/>
      <c r="CH27" s="211"/>
      <c r="CI27" s="211"/>
      <c r="CJ27" s="211"/>
      <c r="CK27" s="211"/>
    </row>
    <row r="28" spans="1:89">
      <c r="A28" s="179">
        <v>25</v>
      </c>
      <c r="B28" s="196">
        <v>4</v>
      </c>
      <c r="C28" s="148">
        <v>45870</v>
      </c>
      <c r="D28" s="223" t="s">
        <v>133</v>
      </c>
      <c r="E28" s="197" t="s">
        <v>98</v>
      </c>
      <c r="F28" s="198" t="s">
        <v>207</v>
      </c>
      <c r="G28" s="198" t="s">
        <v>208</v>
      </c>
      <c r="H28" s="198" t="s">
        <v>209</v>
      </c>
      <c r="I28" s="224" t="s">
        <v>197</v>
      </c>
      <c r="J28" s="200">
        <v>45899.091666666667</v>
      </c>
      <c r="K28" s="200">
        <v>45902.145833333343</v>
      </c>
      <c r="L28" s="200">
        <v>45905.345833333333</v>
      </c>
      <c r="M28" s="201"/>
      <c r="N28" s="201"/>
      <c r="O28" s="201"/>
      <c r="P28" s="201"/>
      <c r="Q28" s="201"/>
      <c r="R28" s="201"/>
      <c r="S28" s="201"/>
      <c r="T28" s="201"/>
      <c r="U28" s="147"/>
      <c r="V28" s="201"/>
      <c r="W28" s="201"/>
      <c r="X28" s="201"/>
      <c r="Y28" s="201"/>
      <c r="Z28" s="202"/>
      <c r="AA28" s="201"/>
      <c r="AB28" s="201"/>
      <c r="AC28" s="201"/>
      <c r="AD28" s="202"/>
      <c r="AE28" s="202"/>
      <c r="AF28" s="201"/>
      <c r="AG28" s="202"/>
      <c r="AH28" s="201"/>
      <c r="AI28" s="201"/>
      <c r="AJ28" s="202"/>
      <c r="AK28" s="202"/>
      <c r="AL28" s="202"/>
      <c r="AM28" s="201"/>
      <c r="AN28" s="201"/>
      <c r="AO28" s="203"/>
      <c r="AP28" s="201"/>
      <c r="AQ28" s="201"/>
      <c r="AR28" s="202"/>
      <c r="AS28" s="201"/>
      <c r="AT28" s="201"/>
      <c r="AU28" s="202"/>
      <c r="AV28" s="203"/>
      <c r="AW28" s="203"/>
      <c r="AX28" s="201"/>
      <c r="AY28" s="202"/>
      <c r="AZ28" s="202"/>
      <c r="BA28" s="202"/>
      <c r="BB28" s="201"/>
      <c r="BC28" s="201"/>
      <c r="BD28" s="177">
        <v>80000</v>
      </c>
      <c r="BE28" s="178">
        <v>45894</v>
      </c>
      <c r="BF28" s="178">
        <v>45915</v>
      </c>
      <c r="BG28" s="205">
        <v>0.90625</v>
      </c>
      <c r="BH28" s="150" t="s">
        <v>202</v>
      </c>
      <c r="BI28" s="207"/>
      <c r="BJ28" s="208">
        <v>16.587897400625</v>
      </c>
      <c r="BK28" s="208">
        <v>10.517742264624999</v>
      </c>
      <c r="BL28" s="208">
        <v>4.9625495751250002</v>
      </c>
      <c r="BM28" s="208">
        <v>4.6259080268061883</v>
      </c>
      <c r="BN28" s="208">
        <v>0.77255305100000016</v>
      </c>
      <c r="BO28" s="208">
        <v>0.72014582537737026</v>
      </c>
      <c r="BP28" s="209">
        <v>6466.3614924250014</v>
      </c>
      <c r="BQ28" s="209">
        <v>6027.7067421106403</v>
      </c>
      <c r="BR28" s="209">
        <v>5724.3180372659453</v>
      </c>
      <c r="BS28" s="210"/>
      <c r="BT28" s="221"/>
      <c r="BU28" s="221"/>
      <c r="BV28" s="211"/>
      <c r="BW28" s="211"/>
      <c r="BX28" s="211"/>
      <c r="BY28" s="211"/>
      <c r="BZ28" s="212"/>
      <c r="CA28" s="222"/>
      <c r="CB28" s="221"/>
      <c r="CC28" s="211"/>
      <c r="CD28" s="211"/>
      <c r="CE28" s="211"/>
      <c r="CF28" s="211"/>
      <c r="CG28" s="214"/>
      <c r="CH28" s="211"/>
      <c r="CI28" s="211"/>
      <c r="CJ28" s="211"/>
      <c r="CK28" s="211"/>
    </row>
    <row r="29" spans="1:89">
      <c r="A29" s="179">
        <v>26</v>
      </c>
      <c r="B29" s="196">
        <v>5</v>
      </c>
      <c r="C29" s="148">
        <v>45901</v>
      </c>
      <c r="D29" s="223" t="s">
        <v>148</v>
      </c>
      <c r="E29" s="197" t="s">
        <v>98</v>
      </c>
      <c r="F29" s="198" t="s">
        <v>211</v>
      </c>
      <c r="G29" s="198" t="s">
        <v>212</v>
      </c>
      <c r="H29" s="198" t="s">
        <v>213</v>
      </c>
      <c r="I29" s="224" t="s">
        <v>197</v>
      </c>
      <c r="J29" s="200">
        <v>45902.333333333343</v>
      </c>
      <c r="K29" s="200">
        <v>45902.659722222219</v>
      </c>
      <c r="L29" s="200">
        <v>45905.13520222222</v>
      </c>
      <c r="M29" s="201"/>
      <c r="N29" s="201"/>
      <c r="O29" s="201"/>
      <c r="P29" s="201"/>
      <c r="Q29" s="201"/>
      <c r="R29" s="201"/>
      <c r="S29" s="201"/>
      <c r="T29" s="201"/>
      <c r="U29" s="147"/>
      <c r="V29" s="201"/>
      <c r="W29" s="201"/>
      <c r="X29" s="201"/>
      <c r="Y29" s="201"/>
      <c r="Z29" s="202"/>
      <c r="AA29" s="201"/>
      <c r="AB29" s="201"/>
      <c r="AC29" s="201"/>
      <c r="AD29" s="202"/>
      <c r="AE29" s="202"/>
      <c r="AF29" s="201"/>
      <c r="AG29" s="202"/>
      <c r="AH29" s="201"/>
      <c r="AI29" s="201"/>
      <c r="AJ29" s="202"/>
      <c r="AK29" s="202"/>
      <c r="AL29" s="202"/>
      <c r="AM29" s="201"/>
      <c r="AN29" s="201"/>
      <c r="AO29" s="203"/>
      <c r="AP29" s="201"/>
      <c r="AQ29" s="201"/>
      <c r="AR29" s="202"/>
      <c r="AS29" s="201"/>
      <c r="AT29" s="201"/>
      <c r="AU29" s="202"/>
      <c r="AV29" s="203"/>
      <c r="AW29" s="203"/>
      <c r="AX29" s="201"/>
      <c r="AY29" s="202"/>
      <c r="AZ29" s="202"/>
      <c r="BA29" s="202"/>
      <c r="BB29" s="201"/>
      <c r="BC29" s="201"/>
      <c r="BD29" s="177">
        <v>61887.000000000007</v>
      </c>
      <c r="BE29" s="178">
        <v>45899</v>
      </c>
      <c r="BF29" s="178">
        <v>45914</v>
      </c>
      <c r="BG29" s="205">
        <v>0.75498020585906578</v>
      </c>
      <c r="BH29" s="150" t="s">
        <v>214</v>
      </c>
      <c r="BI29" s="207"/>
      <c r="BJ29" s="208">
        <v>14.252651949520899</v>
      </c>
      <c r="BK29" s="208">
        <v>8.5345654612438793</v>
      </c>
      <c r="BL29" s="208">
        <v>5.4910325076348823</v>
      </c>
      <c r="BM29" s="208">
        <v>5.1477531152946776</v>
      </c>
      <c r="BN29" s="208">
        <v>0.62611670248172313</v>
      </c>
      <c r="BO29" s="208">
        <v>0.58697416219205467</v>
      </c>
      <c r="BP29" s="209">
        <v>6719.3605878455892</v>
      </c>
      <c r="BQ29" s="209">
        <v>6299.2905889331514</v>
      </c>
      <c r="BR29" s="209">
        <v>6003.5357547632057</v>
      </c>
      <c r="BS29" s="210"/>
      <c r="BT29" s="221"/>
      <c r="BU29" s="221"/>
      <c r="BV29" s="211"/>
      <c r="BW29" s="211"/>
      <c r="BX29" s="211"/>
      <c r="BY29" s="211"/>
      <c r="BZ29" s="212"/>
      <c r="CA29" s="222"/>
      <c r="CB29" s="221"/>
      <c r="CC29" s="211"/>
      <c r="CD29" s="211"/>
      <c r="CE29" s="211"/>
      <c r="CF29" s="211"/>
      <c r="CG29" s="214"/>
      <c r="CH29" s="211"/>
      <c r="CI29" s="211"/>
      <c r="CJ29" s="211"/>
      <c r="CK29" s="211"/>
    </row>
    <row r="30" spans="1:89">
      <c r="A30" s="179">
        <v>27</v>
      </c>
      <c r="B30" s="196">
        <v>6</v>
      </c>
      <c r="C30" s="148">
        <v>45901</v>
      </c>
      <c r="D30" s="223" t="s">
        <v>148</v>
      </c>
      <c r="E30" s="197" t="s">
        <v>98</v>
      </c>
      <c r="F30" s="198" t="s">
        <v>215</v>
      </c>
      <c r="G30" s="198" t="s">
        <v>216</v>
      </c>
      <c r="H30" s="198" t="s">
        <v>217</v>
      </c>
      <c r="I30" s="224" t="s">
        <v>197</v>
      </c>
      <c r="J30" s="200">
        <v>45905</v>
      </c>
      <c r="K30" s="200">
        <v>45905.833333333343</v>
      </c>
      <c r="L30" s="200">
        <v>45907.718433333343</v>
      </c>
      <c r="M30" s="201"/>
      <c r="N30" s="201"/>
      <c r="O30" s="201"/>
      <c r="P30" s="201"/>
      <c r="Q30" s="201"/>
      <c r="R30" s="201"/>
      <c r="S30" s="201"/>
      <c r="T30" s="201"/>
      <c r="U30" s="147"/>
      <c r="V30" s="201"/>
      <c r="W30" s="201"/>
      <c r="X30" s="201"/>
      <c r="Y30" s="201"/>
      <c r="Z30" s="202"/>
      <c r="AA30" s="201"/>
      <c r="AB30" s="201"/>
      <c r="AC30" s="201"/>
      <c r="AD30" s="202"/>
      <c r="AE30" s="202"/>
      <c r="AF30" s="201"/>
      <c r="AG30" s="202"/>
      <c r="AH30" s="201"/>
      <c r="AI30" s="201"/>
      <c r="AJ30" s="202"/>
      <c r="AK30" s="202"/>
      <c r="AL30" s="202"/>
      <c r="AM30" s="201"/>
      <c r="AN30" s="201"/>
      <c r="AO30" s="203"/>
      <c r="AP30" s="201"/>
      <c r="AQ30" s="201"/>
      <c r="AR30" s="202"/>
      <c r="AS30" s="201"/>
      <c r="AT30" s="201"/>
      <c r="AU30" s="202"/>
      <c r="AV30" s="203"/>
      <c r="AW30" s="203"/>
      <c r="AX30" s="201"/>
      <c r="AY30" s="202"/>
      <c r="AZ30" s="202"/>
      <c r="BA30" s="202"/>
      <c r="BB30" s="201"/>
      <c r="BC30" s="201"/>
      <c r="BD30" s="177">
        <v>18851</v>
      </c>
      <c r="BE30" s="178">
        <v>45905</v>
      </c>
      <c r="BF30" s="178">
        <v>45914</v>
      </c>
      <c r="BG30" s="205">
        <v>1</v>
      </c>
      <c r="BH30" s="150" t="s">
        <v>214</v>
      </c>
      <c r="BI30" s="207"/>
      <c r="BJ30" s="208">
        <v>13.70178592117129</v>
      </c>
      <c r="BK30" s="208">
        <v>7.568427372553181</v>
      </c>
      <c r="BL30" s="208">
        <v>5.9880084133467726</v>
      </c>
      <c r="BM30" s="208">
        <v>5.5906701278755593</v>
      </c>
      <c r="BN30" s="208">
        <v>0.73765595989602672</v>
      </c>
      <c r="BO30" s="208">
        <v>0.68870830749804135</v>
      </c>
      <c r="BP30" s="209">
        <v>6737.0790446130204</v>
      </c>
      <c r="BQ30" s="209">
        <v>6290.0356786244229</v>
      </c>
      <c r="BR30" s="209">
        <v>5996.0816144838327</v>
      </c>
      <c r="BS30" s="210"/>
      <c r="BT30" s="221"/>
      <c r="BU30" s="221"/>
      <c r="BV30" s="211"/>
      <c r="BW30" s="211"/>
      <c r="BX30" s="211"/>
      <c r="BY30" s="211"/>
      <c r="BZ30" s="212"/>
      <c r="CA30" s="222"/>
      <c r="CB30" s="221"/>
      <c r="CC30" s="211"/>
      <c r="CD30" s="211"/>
      <c r="CE30" s="211"/>
      <c r="CF30" s="211"/>
      <c r="CG30" s="214"/>
      <c r="CH30" s="211"/>
      <c r="CI30" s="211"/>
      <c r="CJ30" s="211"/>
      <c r="CK30" s="211"/>
    </row>
    <row r="31" spans="1:89">
      <c r="A31" s="179">
        <v>28</v>
      </c>
      <c r="B31" s="196">
        <v>7</v>
      </c>
      <c r="C31" s="148">
        <v>45901</v>
      </c>
      <c r="D31" s="223" t="s">
        <v>133</v>
      </c>
      <c r="E31" s="197" t="s">
        <v>98</v>
      </c>
      <c r="F31" s="198" t="s">
        <v>218</v>
      </c>
      <c r="G31" s="198" t="s">
        <v>219</v>
      </c>
      <c r="H31" s="198" t="s">
        <v>220</v>
      </c>
      <c r="I31" s="224" t="s">
        <v>197</v>
      </c>
      <c r="J31" s="200">
        <v>45904.708333333343</v>
      </c>
      <c r="K31" s="200">
        <v>45906.5</v>
      </c>
      <c r="L31" s="200">
        <v>45909.840199999999</v>
      </c>
      <c r="M31" s="201"/>
      <c r="N31" s="201"/>
      <c r="O31" s="201"/>
      <c r="P31" s="201"/>
      <c r="Q31" s="201"/>
      <c r="R31" s="201"/>
      <c r="S31" s="201"/>
      <c r="T31" s="201"/>
      <c r="U31" s="147"/>
      <c r="V31" s="201"/>
      <c r="W31" s="201"/>
      <c r="X31" s="201"/>
      <c r="Y31" s="201"/>
      <c r="Z31" s="202"/>
      <c r="AA31" s="201"/>
      <c r="AB31" s="201"/>
      <c r="AC31" s="201"/>
      <c r="AD31" s="202"/>
      <c r="AE31" s="202"/>
      <c r="AF31" s="201"/>
      <c r="AG31" s="202"/>
      <c r="AH31" s="201"/>
      <c r="AI31" s="201"/>
      <c r="AJ31" s="202"/>
      <c r="AK31" s="202"/>
      <c r="AL31" s="202"/>
      <c r="AM31" s="201"/>
      <c r="AN31" s="201"/>
      <c r="AO31" s="203"/>
      <c r="AP31" s="201"/>
      <c r="AQ31" s="201"/>
      <c r="AR31" s="202"/>
      <c r="AS31" s="201"/>
      <c r="AT31" s="201"/>
      <c r="AU31" s="202"/>
      <c r="AV31" s="203"/>
      <c r="AW31" s="203"/>
      <c r="AX31" s="201"/>
      <c r="AY31" s="202"/>
      <c r="AZ31" s="202"/>
      <c r="BA31" s="202"/>
      <c r="BB31" s="201"/>
      <c r="BC31" s="201"/>
      <c r="BD31" s="177">
        <v>83505</v>
      </c>
      <c r="BE31" s="178">
        <v>45898</v>
      </c>
      <c r="BF31" s="178">
        <v>45907</v>
      </c>
      <c r="BG31" s="205">
        <v>0.84695527213939281</v>
      </c>
      <c r="BH31" s="150" t="s">
        <v>214</v>
      </c>
      <c r="BI31" s="207"/>
      <c r="BJ31" s="208">
        <v>17.523813556825861</v>
      </c>
      <c r="BK31" s="208">
        <v>10.595215875029471</v>
      </c>
      <c r="BL31" s="208">
        <v>4.8539358481659578</v>
      </c>
      <c r="BM31" s="208">
        <v>4.4777706463331173</v>
      </c>
      <c r="BN31" s="208">
        <v>0.8930426471808941</v>
      </c>
      <c r="BO31" s="208">
        <v>0.82383456983288683</v>
      </c>
      <c r="BP31" s="209">
        <v>6437.5945769196733</v>
      </c>
      <c r="BQ31" s="209">
        <v>5938.7006609112896</v>
      </c>
      <c r="BR31" s="209">
        <v>5632.2524648702984</v>
      </c>
      <c r="BS31" s="210"/>
      <c r="BT31" s="221"/>
      <c r="BU31" s="221"/>
      <c r="BV31" s="211"/>
      <c r="BW31" s="211"/>
      <c r="BX31" s="211"/>
      <c r="BY31" s="211"/>
      <c r="BZ31" s="212"/>
      <c r="CA31" s="222"/>
      <c r="CB31" s="221"/>
      <c r="CC31" s="211"/>
      <c r="CD31" s="211"/>
      <c r="CE31" s="211"/>
      <c r="CF31" s="211"/>
      <c r="CG31" s="214"/>
      <c r="CH31" s="211"/>
      <c r="CI31" s="211"/>
      <c r="CJ31" s="211"/>
      <c r="CK31" s="211"/>
    </row>
    <row r="32" spans="1:89">
      <c r="A32" s="179">
        <v>29</v>
      </c>
      <c r="B32" s="196">
        <v>8</v>
      </c>
      <c r="C32" s="148">
        <v>45901</v>
      </c>
      <c r="D32" s="223" t="s">
        <v>26</v>
      </c>
      <c r="E32" s="197" t="s">
        <v>98</v>
      </c>
      <c r="F32" s="198" t="s">
        <v>222</v>
      </c>
      <c r="G32" s="198" t="s">
        <v>223</v>
      </c>
      <c r="H32" s="198" t="s">
        <v>224</v>
      </c>
      <c r="I32" s="224" t="s">
        <v>197</v>
      </c>
      <c r="J32" s="200">
        <v>45909</v>
      </c>
      <c r="K32" s="200">
        <v>45910.5</v>
      </c>
      <c r="L32" s="200">
        <v>45916</v>
      </c>
      <c r="M32" s="201"/>
      <c r="N32" s="201"/>
      <c r="O32" s="201"/>
      <c r="P32" s="201"/>
      <c r="Q32" s="201"/>
      <c r="R32" s="201"/>
      <c r="S32" s="201"/>
      <c r="T32" s="201"/>
      <c r="U32" s="147"/>
      <c r="V32" s="201"/>
      <c r="W32" s="201"/>
      <c r="X32" s="201"/>
      <c r="Y32" s="201"/>
      <c r="Z32" s="202"/>
      <c r="AA32" s="201"/>
      <c r="AB32" s="201"/>
      <c r="AC32" s="201"/>
      <c r="AD32" s="202"/>
      <c r="AE32" s="202"/>
      <c r="AF32" s="201"/>
      <c r="AG32" s="202"/>
      <c r="AH32" s="201"/>
      <c r="AI32" s="201"/>
      <c r="AJ32" s="202"/>
      <c r="AK32" s="202"/>
      <c r="AL32" s="202"/>
      <c r="AM32" s="201"/>
      <c r="AN32" s="201"/>
      <c r="AO32" s="203"/>
      <c r="AP32" s="201"/>
      <c r="AQ32" s="201"/>
      <c r="AR32" s="202"/>
      <c r="AS32" s="201"/>
      <c r="AT32" s="201"/>
      <c r="AU32" s="202"/>
      <c r="AV32" s="203"/>
      <c r="AW32" s="203"/>
      <c r="AX32" s="201"/>
      <c r="AY32" s="202"/>
      <c r="AZ32" s="202"/>
      <c r="BA32" s="202"/>
      <c r="BB32" s="201"/>
      <c r="BC32" s="201"/>
      <c r="BD32" s="177">
        <v>55000</v>
      </c>
      <c r="BE32" s="178">
        <v>45908</v>
      </c>
      <c r="BF32" s="178">
        <v>45914</v>
      </c>
      <c r="BG32" s="205">
        <v>1</v>
      </c>
      <c r="BH32" s="150" t="s">
        <v>115</v>
      </c>
      <c r="BI32" s="207"/>
      <c r="BJ32" s="208">
        <v>39</v>
      </c>
      <c r="BK32" s="208">
        <v>19.263750532649301</v>
      </c>
      <c r="BL32" s="208">
        <v>9.1505528116359098</v>
      </c>
      <c r="BM32" s="208">
        <v>6.9136692030203477</v>
      </c>
      <c r="BN32" s="208">
        <v>0.1840392422898848</v>
      </c>
      <c r="BO32" s="208">
        <v>0.13905022655558039</v>
      </c>
      <c r="BP32" s="209">
        <v>4893.2939720474869</v>
      </c>
      <c r="BQ32" s="209">
        <v>3697.1116972135892</v>
      </c>
      <c r="BR32" s="209">
        <v>3320.4582772135891</v>
      </c>
      <c r="BS32" s="210"/>
      <c r="BT32" s="221"/>
      <c r="BU32" s="221"/>
      <c r="BV32" s="211"/>
      <c r="BW32" s="211"/>
      <c r="BX32" s="211"/>
      <c r="BY32" s="211"/>
      <c r="BZ32" s="212"/>
      <c r="CA32" s="222"/>
      <c r="CB32" s="221"/>
      <c r="CC32" s="211"/>
      <c r="CD32" s="211"/>
      <c r="CE32" s="211"/>
      <c r="CF32" s="211"/>
      <c r="CG32" s="214"/>
      <c r="CH32" s="211"/>
      <c r="CI32" s="211"/>
      <c r="CJ32" s="211"/>
      <c r="CK32" s="211"/>
    </row>
    <row r="33" spans="1:89">
      <c r="A33" s="179">
        <v>30</v>
      </c>
      <c r="B33" s="196">
        <v>9</v>
      </c>
      <c r="C33" s="148">
        <v>45901</v>
      </c>
      <c r="D33" s="223" t="s">
        <v>148</v>
      </c>
      <c r="E33" s="197" t="s">
        <v>98</v>
      </c>
      <c r="F33" s="198" t="s">
        <v>225</v>
      </c>
      <c r="G33" s="198" t="s">
        <v>226</v>
      </c>
      <c r="H33" s="198" t="s">
        <v>227</v>
      </c>
      <c r="I33" s="224" t="s">
        <v>197</v>
      </c>
      <c r="J33" s="200">
        <v>45907</v>
      </c>
      <c r="K33" s="200">
        <v>45912.5</v>
      </c>
      <c r="L33" s="200">
        <v>45915.446199999998</v>
      </c>
      <c r="M33" s="201"/>
      <c r="N33" s="201"/>
      <c r="O33" s="201"/>
      <c r="P33" s="201"/>
      <c r="Q33" s="201"/>
      <c r="R33" s="201"/>
      <c r="S33" s="201"/>
      <c r="T33" s="201"/>
      <c r="U33" s="147"/>
      <c r="V33" s="201"/>
      <c r="W33" s="201"/>
      <c r="X33" s="201"/>
      <c r="Y33" s="201"/>
      <c r="Z33" s="202"/>
      <c r="AA33" s="201"/>
      <c r="AB33" s="201"/>
      <c r="AC33" s="201"/>
      <c r="AD33" s="202"/>
      <c r="AE33" s="202"/>
      <c r="AF33" s="201"/>
      <c r="AG33" s="202"/>
      <c r="AH33" s="201"/>
      <c r="AI33" s="201"/>
      <c r="AJ33" s="202"/>
      <c r="AK33" s="202"/>
      <c r="AL33" s="202"/>
      <c r="AM33" s="201"/>
      <c r="AN33" s="201"/>
      <c r="AO33" s="203"/>
      <c r="AP33" s="201"/>
      <c r="AQ33" s="201"/>
      <c r="AR33" s="202"/>
      <c r="AS33" s="201"/>
      <c r="AT33" s="201"/>
      <c r="AU33" s="202"/>
      <c r="AV33" s="203"/>
      <c r="AW33" s="203"/>
      <c r="AX33" s="201"/>
      <c r="AY33" s="202"/>
      <c r="AZ33" s="202"/>
      <c r="BA33" s="202"/>
      <c r="BB33" s="201"/>
      <c r="BC33" s="201"/>
      <c r="BD33" s="177">
        <v>73655</v>
      </c>
      <c r="BE33" s="178">
        <v>45904</v>
      </c>
      <c r="BF33" s="178">
        <v>45913</v>
      </c>
      <c r="BG33" s="205">
        <v>0.59267558210576343</v>
      </c>
      <c r="BH33" s="150" t="s">
        <v>115</v>
      </c>
      <c r="BI33" s="207"/>
      <c r="BJ33" s="208">
        <v>13.377959647367691</v>
      </c>
      <c r="BK33" s="208">
        <v>7.7535849209339887</v>
      </c>
      <c r="BL33" s="208">
        <v>5.1070342909736084</v>
      </c>
      <c r="BM33" s="208">
        <v>4.795652276089208</v>
      </c>
      <c r="BN33" s="208">
        <v>0.92009774284819112</v>
      </c>
      <c r="BO33" s="208">
        <v>0.86399827831844767</v>
      </c>
      <c r="BP33" s="209">
        <v>6767.9322351034534</v>
      </c>
      <c r="BQ33" s="209">
        <v>6355.2832776268369</v>
      </c>
      <c r="BR33" s="209">
        <v>6062.3877950987853</v>
      </c>
      <c r="BS33" s="210"/>
      <c r="BT33" s="221"/>
      <c r="BU33" s="221"/>
      <c r="BV33" s="211"/>
      <c r="BW33" s="211"/>
      <c r="BX33" s="211"/>
      <c r="BY33" s="211"/>
      <c r="BZ33" s="212"/>
      <c r="CA33" s="222"/>
      <c r="CB33" s="221"/>
      <c r="CC33" s="211"/>
      <c r="CD33" s="211"/>
      <c r="CE33" s="211"/>
      <c r="CF33" s="211"/>
      <c r="CG33" s="214"/>
      <c r="CH33" s="211"/>
      <c r="CI33" s="211"/>
      <c r="CJ33" s="211"/>
      <c r="CK33" s="211"/>
    </row>
    <row r="34" spans="1:89">
      <c r="A34" s="179">
        <v>31</v>
      </c>
      <c r="B34" s="196">
        <v>10</v>
      </c>
      <c r="C34" s="148">
        <v>45901</v>
      </c>
      <c r="D34" s="223" t="s">
        <v>133</v>
      </c>
      <c r="E34" s="197" t="s">
        <v>98</v>
      </c>
      <c r="F34" s="198" t="s">
        <v>228</v>
      </c>
      <c r="G34" s="198" t="s">
        <v>229</v>
      </c>
      <c r="H34" s="198" t="s">
        <v>230</v>
      </c>
      <c r="I34" s="224" t="s">
        <v>197</v>
      </c>
      <c r="J34" s="200">
        <v>45904</v>
      </c>
      <c r="K34" s="200">
        <v>45912.5</v>
      </c>
      <c r="L34" s="200">
        <v>45915.68</v>
      </c>
      <c r="M34" s="201"/>
      <c r="N34" s="201"/>
      <c r="O34" s="201"/>
      <c r="P34" s="201"/>
      <c r="Q34" s="201"/>
      <c r="R34" s="201"/>
      <c r="S34" s="201"/>
      <c r="T34" s="201"/>
      <c r="U34" s="147"/>
      <c r="V34" s="201"/>
      <c r="W34" s="201"/>
      <c r="X34" s="201"/>
      <c r="Y34" s="201"/>
      <c r="Z34" s="202"/>
      <c r="AA34" s="201"/>
      <c r="AB34" s="201"/>
      <c r="AC34" s="201"/>
      <c r="AD34" s="202"/>
      <c r="AE34" s="202"/>
      <c r="AF34" s="201"/>
      <c r="AG34" s="202"/>
      <c r="AH34" s="201"/>
      <c r="AI34" s="201"/>
      <c r="AJ34" s="202"/>
      <c r="AK34" s="202"/>
      <c r="AL34" s="202"/>
      <c r="AM34" s="201"/>
      <c r="AN34" s="201"/>
      <c r="AO34" s="203"/>
      <c r="AP34" s="201"/>
      <c r="AQ34" s="201"/>
      <c r="AR34" s="202"/>
      <c r="AS34" s="201"/>
      <c r="AT34" s="201"/>
      <c r="AU34" s="202"/>
      <c r="AV34" s="203"/>
      <c r="AW34" s="203"/>
      <c r="AX34" s="201"/>
      <c r="AY34" s="202"/>
      <c r="AZ34" s="202"/>
      <c r="BA34" s="202"/>
      <c r="BB34" s="201"/>
      <c r="BC34" s="201"/>
      <c r="BD34" s="177">
        <v>79500</v>
      </c>
      <c r="BE34" s="178">
        <v>45901</v>
      </c>
      <c r="BF34" s="178">
        <v>45910</v>
      </c>
      <c r="BG34" s="205">
        <v>0.83899371069182394</v>
      </c>
      <c r="BH34" s="150" t="s">
        <v>115</v>
      </c>
      <c r="BI34" s="207"/>
      <c r="BJ34" s="208">
        <v>17.689337091030161</v>
      </c>
      <c r="BK34" s="208">
        <v>10.633189324361391</v>
      </c>
      <c r="BL34" s="208">
        <v>4.5874352036650574</v>
      </c>
      <c r="BM34" s="208">
        <v>4.2252244408286597</v>
      </c>
      <c r="BN34" s="208">
        <v>0.5745578286871722</v>
      </c>
      <c r="BO34" s="208">
        <v>0.52919238586715422</v>
      </c>
      <c r="BP34" s="209">
        <v>6432.5100674729601</v>
      </c>
      <c r="BQ34" s="209">
        <v>5924.6174706182446</v>
      </c>
      <c r="BR34" s="209">
        <v>5617.6281814544091</v>
      </c>
      <c r="BS34" s="210"/>
      <c r="BT34" s="221"/>
      <c r="BU34" s="221"/>
      <c r="BV34" s="211"/>
      <c r="BW34" s="211"/>
      <c r="BX34" s="211"/>
      <c r="BY34" s="211"/>
      <c r="BZ34" s="212"/>
      <c r="CA34" s="222"/>
      <c r="CB34" s="221"/>
      <c r="CC34" s="211"/>
      <c r="CD34" s="211"/>
      <c r="CE34" s="211"/>
      <c r="CF34" s="211"/>
      <c r="CG34" s="214"/>
      <c r="CH34" s="211"/>
      <c r="CI34" s="211"/>
      <c r="CJ34" s="211"/>
      <c r="CK34" s="211"/>
    </row>
    <row r="35" spans="1:89">
      <c r="A35" s="223">
        <v>32</v>
      </c>
      <c r="B35" s="196">
        <v>11</v>
      </c>
      <c r="C35" s="240">
        <v>45901</v>
      </c>
      <c r="D35" s="223" t="s">
        <v>155</v>
      </c>
      <c r="E35" s="197" t="s">
        <v>98</v>
      </c>
      <c r="F35" s="198" t="s">
        <v>141</v>
      </c>
      <c r="G35" s="198" t="s">
        <v>231</v>
      </c>
      <c r="H35" s="198" t="s">
        <v>232</v>
      </c>
      <c r="I35" s="224" t="s">
        <v>197</v>
      </c>
      <c r="J35" s="200">
        <v>45910</v>
      </c>
      <c r="K35" s="200">
        <v>45914.845648148148</v>
      </c>
      <c r="L35" s="200">
        <v>45917.845648148148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2"/>
      <c r="AA35" s="201"/>
      <c r="AB35" s="201"/>
      <c r="AC35" s="201"/>
      <c r="AD35" s="202"/>
      <c r="AE35" s="202"/>
      <c r="AF35" s="201"/>
      <c r="AG35" s="202"/>
      <c r="AH35" s="201"/>
      <c r="AI35" s="201"/>
      <c r="AJ35" s="202"/>
      <c r="AK35" s="202"/>
      <c r="AL35" s="202"/>
      <c r="AM35" s="201"/>
      <c r="AN35" s="201"/>
      <c r="AO35" s="203"/>
      <c r="AP35" s="201"/>
      <c r="AQ35" s="201"/>
      <c r="AR35" s="202"/>
      <c r="AS35" s="201"/>
      <c r="AT35" s="201"/>
      <c r="AU35" s="202"/>
      <c r="AV35" s="203"/>
      <c r="AW35" s="203"/>
      <c r="AX35" s="201"/>
      <c r="AY35" s="202"/>
      <c r="AZ35" s="202"/>
      <c r="BA35" s="202"/>
      <c r="BB35" s="201"/>
      <c r="BC35" s="201"/>
      <c r="BD35" s="204">
        <v>75000</v>
      </c>
      <c r="BE35" s="241">
        <v>45910</v>
      </c>
      <c r="BF35" s="241">
        <v>45919</v>
      </c>
      <c r="BG35" s="205">
        <v>0.29764000000000002</v>
      </c>
      <c r="BH35" s="206" t="s">
        <v>115</v>
      </c>
      <c r="BI35" s="207"/>
      <c r="BJ35" s="208">
        <v>20.8</v>
      </c>
      <c r="BK35" s="208">
        <v>11.15</v>
      </c>
      <c r="BL35" s="208">
        <v>4.75</v>
      </c>
      <c r="BM35" s="208">
        <v>4.24</v>
      </c>
      <c r="BN35" s="208">
        <v>0.93</v>
      </c>
      <c r="BO35" s="208">
        <v>0.83</v>
      </c>
      <c r="BP35" s="209">
        <v>6272</v>
      </c>
      <c r="BQ35" s="209">
        <v>5591</v>
      </c>
      <c r="BR35" s="209">
        <v>5274</v>
      </c>
      <c r="BS35" s="210"/>
      <c r="BT35" s="221"/>
      <c r="BU35" s="221"/>
      <c r="BV35" s="211"/>
      <c r="BW35" s="211"/>
      <c r="BX35" s="211"/>
      <c r="BY35" s="211"/>
      <c r="BZ35" s="212"/>
      <c r="CA35" s="222"/>
      <c r="CB35" s="221"/>
      <c r="CC35" s="211"/>
      <c r="CD35" s="211"/>
      <c r="CE35" s="211"/>
      <c r="CF35" s="211"/>
      <c r="CG35" s="214"/>
      <c r="CH35" s="211"/>
      <c r="CI35" s="211"/>
      <c r="CJ35" s="211"/>
      <c r="CK35" s="211"/>
    </row>
    <row r="36" spans="1:89">
      <c r="A36" s="223">
        <v>33</v>
      </c>
      <c r="B36" s="196">
        <v>12</v>
      </c>
      <c r="C36" s="240">
        <v>45901</v>
      </c>
      <c r="D36" s="223" t="s">
        <v>133</v>
      </c>
      <c r="E36" s="197" t="s">
        <v>98</v>
      </c>
      <c r="F36" s="198" t="s">
        <v>156</v>
      </c>
      <c r="G36" s="198" t="s">
        <v>233</v>
      </c>
      <c r="H36" s="198" t="s">
        <v>234</v>
      </c>
      <c r="I36" s="224" t="s">
        <v>197</v>
      </c>
      <c r="J36" s="200">
        <v>45911</v>
      </c>
      <c r="K36" s="200">
        <v>45916.5</v>
      </c>
      <c r="L36" s="200">
        <v>45919.5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2"/>
      <c r="AA36" s="201"/>
      <c r="AB36" s="201"/>
      <c r="AC36" s="201"/>
      <c r="AD36" s="202"/>
      <c r="AE36" s="202"/>
      <c r="AF36" s="201"/>
      <c r="AG36" s="202"/>
      <c r="AH36" s="201"/>
      <c r="AI36" s="201"/>
      <c r="AJ36" s="202"/>
      <c r="AK36" s="202"/>
      <c r="AL36" s="202"/>
      <c r="AM36" s="201"/>
      <c r="AN36" s="201"/>
      <c r="AO36" s="203"/>
      <c r="AP36" s="201"/>
      <c r="AQ36" s="201"/>
      <c r="AR36" s="202"/>
      <c r="AS36" s="201"/>
      <c r="AT36" s="201"/>
      <c r="AU36" s="202"/>
      <c r="AV36" s="203"/>
      <c r="AW36" s="203"/>
      <c r="AX36" s="201"/>
      <c r="AY36" s="202"/>
      <c r="AZ36" s="202"/>
      <c r="BA36" s="202"/>
      <c r="BB36" s="201"/>
      <c r="BC36" s="201"/>
      <c r="BD36" s="204">
        <v>75000</v>
      </c>
      <c r="BE36" s="241">
        <v>45911</v>
      </c>
      <c r="BF36" s="241">
        <v>45920</v>
      </c>
      <c r="BG36" s="205">
        <v>0.72933333333333328</v>
      </c>
      <c r="BH36" s="206" t="s">
        <v>115</v>
      </c>
      <c r="BI36" s="207"/>
      <c r="BJ36" s="208">
        <v>20.69161051785148</v>
      </c>
      <c r="BK36" s="208">
        <v>12.23139698570836</v>
      </c>
      <c r="BL36" s="208">
        <v>6.6284563824127458</v>
      </c>
      <c r="BM36" s="208">
        <v>5.9755883376382624</v>
      </c>
      <c r="BN36" s="208">
        <v>1.311474420692502</v>
      </c>
      <c r="BO36" s="208">
        <v>1.2122652917602339</v>
      </c>
      <c r="BP36" s="209">
        <v>6077.8025677142314</v>
      </c>
      <c r="BQ36" s="209">
        <v>5511.7879764216377</v>
      </c>
      <c r="BR36" s="209">
        <v>5201.0026401271189</v>
      </c>
      <c r="BS36" s="210"/>
      <c r="BT36" s="221"/>
      <c r="BU36" s="221"/>
      <c r="BV36" s="211"/>
      <c r="BW36" s="211"/>
      <c r="BX36" s="211"/>
      <c r="BY36" s="211"/>
      <c r="BZ36" s="212"/>
      <c r="CA36" s="222"/>
      <c r="CB36" s="221"/>
      <c r="CC36" s="211"/>
      <c r="CD36" s="211"/>
      <c r="CE36" s="211"/>
      <c r="CF36" s="211"/>
      <c r="CG36" s="214"/>
      <c r="CH36" s="211"/>
      <c r="CI36" s="211"/>
      <c r="CJ36" s="211"/>
      <c r="CK36" s="211"/>
    </row>
    <row r="37" spans="1:89">
      <c r="A37" s="223">
        <v>34</v>
      </c>
      <c r="B37" s="196">
        <v>13</v>
      </c>
      <c r="C37" s="240">
        <v>45901</v>
      </c>
      <c r="D37" s="223" t="s">
        <v>155</v>
      </c>
      <c r="E37" s="197" t="s">
        <v>98</v>
      </c>
      <c r="F37" s="198" t="s">
        <v>141</v>
      </c>
      <c r="G37" s="198" t="s">
        <v>235</v>
      </c>
      <c r="H37" s="198" t="s">
        <v>236</v>
      </c>
      <c r="I37" s="224" t="s">
        <v>197</v>
      </c>
      <c r="J37" s="200">
        <v>45913</v>
      </c>
      <c r="K37" s="200">
        <v>45917.5</v>
      </c>
      <c r="L37" s="200">
        <v>45920.3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2"/>
      <c r="AA37" s="201"/>
      <c r="AB37" s="201"/>
      <c r="AC37" s="201"/>
      <c r="AD37" s="202"/>
      <c r="AE37" s="202"/>
      <c r="AF37" s="201"/>
      <c r="AG37" s="202"/>
      <c r="AH37" s="201"/>
      <c r="AI37" s="201"/>
      <c r="AJ37" s="202"/>
      <c r="AK37" s="202"/>
      <c r="AL37" s="202"/>
      <c r="AM37" s="201"/>
      <c r="AN37" s="201"/>
      <c r="AO37" s="203"/>
      <c r="AP37" s="201"/>
      <c r="AQ37" s="201"/>
      <c r="AR37" s="202"/>
      <c r="AS37" s="201"/>
      <c r="AT37" s="201"/>
      <c r="AU37" s="202"/>
      <c r="AV37" s="203"/>
      <c r="AW37" s="203"/>
      <c r="AX37" s="201"/>
      <c r="AY37" s="202"/>
      <c r="AZ37" s="202"/>
      <c r="BA37" s="202"/>
      <c r="BB37" s="201"/>
      <c r="BC37" s="201"/>
      <c r="BD37" s="204">
        <v>70000</v>
      </c>
      <c r="BE37" s="241">
        <v>45913</v>
      </c>
      <c r="BF37" s="241">
        <v>45922</v>
      </c>
      <c r="BG37" s="205">
        <v>0.42857142857142849</v>
      </c>
      <c r="BH37" s="206" t="s">
        <v>115</v>
      </c>
      <c r="BI37" s="207"/>
      <c r="BJ37" s="208">
        <v>21.09650792921952</v>
      </c>
      <c r="BK37" s="208">
        <v>10.814189053779</v>
      </c>
      <c r="BL37" s="208">
        <v>5.7891989100759771</v>
      </c>
      <c r="BM37" s="208">
        <v>5.0875205895549476</v>
      </c>
      <c r="BN37" s="208">
        <v>0.81212202682289036</v>
      </c>
      <c r="BO37" s="208">
        <v>0.74644281338990381</v>
      </c>
      <c r="BP37" s="209">
        <v>6237.3181915720043</v>
      </c>
      <c r="BQ37" s="209">
        <v>5543.7873351023909</v>
      </c>
      <c r="BR37" s="209">
        <v>5234.649737367964</v>
      </c>
      <c r="BS37" s="210"/>
      <c r="BT37" s="221"/>
      <c r="BU37" s="221"/>
      <c r="BV37" s="211"/>
      <c r="BW37" s="211"/>
      <c r="BX37" s="211"/>
      <c r="BY37" s="211"/>
      <c r="BZ37" s="212"/>
      <c r="CA37" s="222"/>
      <c r="CB37" s="221"/>
      <c r="CC37" s="211"/>
      <c r="CD37" s="211"/>
      <c r="CE37" s="211"/>
      <c r="CF37" s="211"/>
      <c r="CG37" s="214"/>
      <c r="CH37" s="211"/>
      <c r="CI37" s="211"/>
      <c r="CJ37" s="211"/>
      <c r="CK37" s="211"/>
    </row>
    <row r="38" spans="1:89">
      <c r="A38" s="223">
        <v>35</v>
      </c>
      <c r="B38" s="196">
        <v>14</v>
      </c>
      <c r="C38" s="240">
        <v>45901</v>
      </c>
      <c r="D38" s="223" t="s">
        <v>133</v>
      </c>
      <c r="E38" s="197" t="s">
        <v>98</v>
      </c>
      <c r="F38" s="198" t="s">
        <v>141</v>
      </c>
      <c r="G38" s="198" t="s">
        <v>237</v>
      </c>
      <c r="H38" s="198" t="s">
        <v>238</v>
      </c>
      <c r="I38" s="224" t="s">
        <v>197</v>
      </c>
      <c r="J38" s="200">
        <v>45913</v>
      </c>
      <c r="K38" s="200">
        <v>45919.5</v>
      </c>
      <c r="L38" s="200">
        <v>45922.5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2"/>
      <c r="AA38" s="201"/>
      <c r="AB38" s="201"/>
      <c r="AC38" s="201"/>
      <c r="AD38" s="202"/>
      <c r="AE38" s="202"/>
      <c r="AF38" s="201"/>
      <c r="AG38" s="202"/>
      <c r="AH38" s="201"/>
      <c r="AI38" s="201"/>
      <c r="AJ38" s="202"/>
      <c r="AK38" s="202"/>
      <c r="AL38" s="202"/>
      <c r="AM38" s="201"/>
      <c r="AN38" s="201"/>
      <c r="AO38" s="203"/>
      <c r="AP38" s="201"/>
      <c r="AQ38" s="201"/>
      <c r="AR38" s="202"/>
      <c r="AS38" s="201"/>
      <c r="AT38" s="201"/>
      <c r="AU38" s="202"/>
      <c r="AV38" s="203"/>
      <c r="AW38" s="203"/>
      <c r="AX38" s="201"/>
      <c r="AY38" s="202"/>
      <c r="AZ38" s="202"/>
      <c r="BA38" s="202"/>
      <c r="BB38" s="201"/>
      <c r="BC38" s="201"/>
      <c r="BD38" s="204">
        <v>75000</v>
      </c>
      <c r="BE38" s="241">
        <v>45913</v>
      </c>
      <c r="BF38" s="241">
        <v>45922</v>
      </c>
      <c r="BG38" s="205">
        <v>0.7</v>
      </c>
      <c r="BH38" s="206" t="s">
        <v>115</v>
      </c>
      <c r="BI38" s="207"/>
      <c r="BJ38" s="208">
        <v>21.290732795874131</v>
      </c>
      <c r="BK38" s="208">
        <v>12.40672668702466</v>
      </c>
      <c r="BL38" s="208">
        <v>5.8101629778895454</v>
      </c>
      <c r="BM38" s="208">
        <v>5.1513109647409081</v>
      </c>
      <c r="BN38" s="208">
        <v>0.96197838153659565</v>
      </c>
      <c r="BO38" s="208">
        <v>0.89385554849238102</v>
      </c>
      <c r="BP38" s="209">
        <v>6105.5116428746223</v>
      </c>
      <c r="BQ38" s="209">
        <v>5513.0832501580571</v>
      </c>
      <c r="BR38" s="209">
        <v>5184.3417626327582</v>
      </c>
      <c r="BS38" s="210"/>
      <c r="BT38" s="221"/>
      <c r="BU38" s="221"/>
      <c r="BV38" s="211"/>
      <c r="BW38" s="211"/>
      <c r="BX38" s="211"/>
      <c r="BY38" s="211"/>
      <c r="BZ38" s="212"/>
      <c r="CA38" s="222"/>
      <c r="CB38" s="221"/>
      <c r="CC38" s="211"/>
      <c r="CD38" s="211"/>
      <c r="CE38" s="211"/>
      <c r="CF38" s="211"/>
      <c r="CG38" s="214"/>
      <c r="CH38" s="211"/>
      <c r="CI38" s="211"/>
      <c r="CJ38" s="211"/>
      <c r="CK38" s="211"/>
    </row>
    <row r="39" spans="1:89">
      <c r="A39" s="223">
        <v>36</v>
      </c>
      <c r="B39" s="196">
        <v>15</v>
      </c>
      <c r="C39" s="240">
        <v>45901</v>
      </c>
      <c r="D39" s="223" t="s">
        <v>133</v>
      </c>
      <c r="E39" s="197" t="s">
        <v>98</v>
      </c>
      <c r="F39" s="198" t="s">
        <v>141</v>
      </c>
      <c r="G39" s="198" t="s">
        <v>239</v>
      </c>
      <c r="H39" s="198" t="s">
        <v>240</v>
      </c>
      <c r="I39" s="224" t="s">
        <v>197</v>
      </c>
      <c r="J39" s="200">
        <v>45914</v>
      </c>
      <c r="K39" s="200">
        <v>45921.5</v>
      </c>
      <c r="L39" s="200">
        <v>45924.5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2"/>
      <c r="AA39" s="201"/>
      <c r="AB39" s="201"/>
      <c r="AC39" s="201"/>
      <c r="AD39" s="202"/>
      <c r="AE39" s="202"/>
      <c r="AF39" s="201"/>
      <c r="AG39" s="202"/>
      <c r="AH39" s="201"/>
      <c r="AI39" s="201"/>
      <c r="AJ39" s="202"/>
      <c r="AK39" s="202"/>
      <c r="AL39" s="202"/>
      <c r="AM39" s="201"/>
      <c r="AN39" s="201"/>
      <c r="AO39" s="203"/>
      <c r="AP39" s="201"/>
      <c r="AQ39" s="201"/>
      <c r="AR39" s="202"/>
      <c r="AS39" s="201"/>
      <c r="AT39" s="201"/>
      <c r="AU39" s="202"/>
      <c r="AV39" s="203"/>
      <c r="AW39" s="203"/>
      <c r="AX39" s="201"/>
      <c r="AY39" s="202"/>
      <c r="AZ39" s="202"/>
      <c r="BA39" s="202"/>
      <c r="BB39" s="201"/>
      <c r="BC39" s="201"/>
      <c r="BD39" s="204">
        <v>75000</v>
      </c>
      <c r="BE39" s="241">
        <v>45914</v>
      </c>
      <c r="BF39" s="241">
        <v>45923</v>
      </c>
      <c r="BG39" s="205">
        <v>0.6</v>
      </c>
      <c r="BH39" s="206" t="s">
        <v>115</v>
      </c>
      <c r="BI39" s="207"/>
      <c r="BJ39" s="208">
        <v>18.15636823123635</v>
      </c>
      <c r="BK39" s="208">
        <v>11.092017891819649</v>
      </c>
      <c r="BL39" s="208">
        <v>6.6176545397960602</v>
      </c>
      <c r="BM39" s="208">
        <v>6.111133000427218</v>
      </c>
      <c r="BN39" s="208">
        <v>1.3635250913638659</v>
      </c>
      <c r="BO39" s="208">
        <v>1.269888041902312</v>
      </c>
      <c r="BP39" s="209">
        <v>6141.3288547197608</v>
      </c>
      <c r="BQ39" s="209">
        <v>5656.8565004899901</v>
      </c>
      <c r="BR39" s="209">
        <v>5333.5056167672419</v>
      </c>
      <c r="BS39" s="210"/>
      <c r="BT39" s="221"/>
      <c r="BU39" s="221"/>
      <c r="BV39" s="211"/>
      <c r="BW39" s="211"/>
      <c r="BX39" s="211"/>
      <c r="BY39" s="211"/>
      <c r="BZ39" s="212"/>
      <c r="CA39" s="222"/>
      <c r="CB39" s="221"/>
      <c r="CC39" s="211"/>
      <c r="CD39" s="211"/>
      <c r="CE39" s="211"/>
      <c r="CF39" s="211"/>
      <c r="CG39" s="214"/>
      <c r="CH39" s="211"/>
      <c r="CI39" s="211"/>
      <c r="CJ39" s="211"/>
      <c r="CK39" s="211"/>
    </row>
    <row r="40" spans="1:89">
      <c r="A40" s="223">
        <v>37</v>
      </c>
      <c r="B40" s="196">
        <v>16</v>
      </c>
      <c r="C40" s="240">
        <v>45901</v>
      </c>
      <c r="D40" s="223" t="s">
        <v>133</v>
      </c>
      <c r="E40" s="197" t="s">
        <v>98</v>
      </c>
      <c r="F40" s="198" t="s">
        <v>241</v>
      </c>
      <c r="G40" s="198" t="s">
        <v>208</v>
      </c>
      <c r="H40" s="198" t="s">
        <v>242</v>
      </c>
      <c r="I40" s="224" t="s">
        <v>197</v>
      </c>
      <c r="J40" s="200">
        <v>45918</v>
      </c>
      <c r="K40" s="200">
        <v>45923.166666666657</v>
      </c>
      <c r="L40" s="200">
        <v>45925.966666666667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2"/>
      <c r="AA40" s="201"/>
      <c r="AB40" s="201"/>
      <c r="AC40" s="201"/>
      <c r="AD40" s="202"/>
      <c r="AE40" s="202"/>
      <c r="AF40" s="201"/>
      <c r="AG40" s="202"/>
      <c r="AH40" s="201"/>
      <c r="AI40" s="201"/>
      <c r="AJ40" s="202"/>
      <c r="AK40" s="202"/>
      <c r="AL40" s="202"/>
      <c r="AM40" s="201"/>
      <c r="AN40" s="201"/>
      <c r="AO40" s="203"/>
      <c r="AP40" s="201"/>
      <c r="AQ40" s="201"/>
      <c r="AR40" s="202"/>
      <c r="AS40" s="201"/>
      <c r="AT40" s="201"/>
      <c r="AU40" s="202"/>
      <c r="AV40" s="203"/>
      <c r="AW40" s="203"/>
      <c r="AX40" s="201"/>
      <c r="AY40" s="202"/>
      <c r="AZ40" s="202"/>
      <c r="BA40" s="202"/>
      <c r="BB40" s="201"/>
      <c r="BC40" s="201"/>
      <c r="BD40" s="204">
        <v>70000</v>
      </c>
      <c r="BE40" s="241">
        <v>45918</v>
      </c>
      <c r="BF40" s="241">
        <v>45927</v>
      </c>
      <c r="BG40" s="205">
        <v>0.7857142857142857</v>
      </c>
      <c r="BH40" s="206" t="s">
        <v>115</v>
      </c>
      <c r="BI40" s="207"/>
      <c r="BJ40" s="208">
        <v>16.552026365598611</v>
      </c>
      <c r="BK40" s="208">
        <v>10.68449867898787</v>
      </c>
      <c r="BL40" s="208">
        <v>4.9314280144024742</v>
      </c>
      <c r="BM40" s="208">
        <v>4.5981448106231424</v>
      </c>
      <c r="BN40" s="208">
        <v>0.91566445733104318</v>
      </c>
      <c r="BO40" s="208">
        <v>0.85325584027641443</v>
      </c>
      <c r="BP40" s="209">
        <v>6462.8990008221408</v>
      </c>
      <c r="BQ40" s="209">
        <v>6041.0105873047623</v>
      </c>
      <c r="BR40" s="209">
        <v>5725.125997828738</v>
      </c>
      <c r="BS40" s="210"/>
      <c r="BT40" s="221"/>
      <c r="BU40" s="221"/>
      <c r="BV40" s="211"/>
      <c r="BW40" s="211"/>
      <c r="BX40" s="211"/>
      <c r="BY40" s="211"/>
      <c r="BZ40" s="212"/>
      <c r="CA40" s="222"/>
      <c r="CB40" s="221"/>
      <c r="CC40" s="211"/>
      <c r="CD40" s="211"/>
      <c r="CE40" s="211"/>
      <c r="CF40" s="211"/>
      <c r="CG40" s="214"/>
      <c r="CH40" s="211"/>
      <c r="CI40" s="211"/>
      <c r="CJ40" s="211"/>
      <c r="CK40" s="211"/>
    </row>
    <row r="41" spans="1:89">
      <c r="A41" s="223">
        <v>38</v>
      </c>
      <c r="B41" s="196">
        <v>17</v>
      </c>
      <c r="C41" s="240">
        <v>45901</v>
      </c>
      <c r="D41" s="223" t="s">
        <v>148</v>
      </c>
      <c r="E41" s="197" t="s">
        <v>98</v>
      </c>
      <c r="F41" s="198" t="s">
        <v>141</v>
      </c>
      <c r="G41" s="198" t="s">
        <v>243</v>
      </c>
      <c r="H41" s="198" t="s">
        <v>244</v>
      </c>
      <c r="I41" s="224" t="s">
        <v>197</v>
      </c>
      <c r="J41" s="200">
        <v>45921</v>
      </c>
      <c r="K41" s="200">
        <v>45925.051504629628</v>
      </c>
      <c r="L41" s="200">
        <v>45928.331504629627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2"/>
      <c r="AA41" s="201"/>
      <c r="AB41" s="201"/>
      <c r="AC41" s="201"/>
      <c r="AD41" s="202"/>
      <c r="AE41" s="202"/>
      <c r="AF41" s="201"/>
      <c r="AG41" s="202"/>
      <c r="AH41" s="201"/>
      <c r="AI41" s="201"/>
      <c r="AJ41" s="202"/>
      <c r="AK41" s="202"/>
      <c r="AL41" s="202"/>
      <c r="AM41" s="201"/>
      <c r="AN41" s="201"/>
      <c r="AO41" s="203"/>
      <c r="AP41" s="201"/>
      <c r="AQ41" s="201"/>
      <c r="AR41" s="202"/>
      <c r="AS41" s="201"/>
      <c r="AT41" s="201"/>
      <c r="AU41" s="202"/>
      <c r="AV41" s="203"/>
      <c r="AW41" s="203"/>
      <c r="AX41" s="201"/>
      <c r="AY41" s="202"/>
      <c r="AZ41" s="202"/>
      <c r="BA41" s="202"/>
      <c r="BB41" s="201"/>
      <c r="BC41" s="201"/>
      <c r="BD41" s="204">
        <v>82000</v>
      </c>
      <c r="BE41" s="241">
        <v>45921</v>
      </c>
      <c r="BF41" s="241">
        <v>45930</v>
      </c>
      <c r="BG41" s="205">
        <v>0.54268292682926833</v>
      </c>
      <c r="BH41" s="206" t="s">
        <v>115</v>
      </c>
      <c r="BI41" s="207"/>
      <c r="BJ41" s="208">
        <v>14.167560419143671</v>
      </c>
      <c r="BK41" s="208">
        <v>8.0155087027425331</v>
      </c>
      <c r="BL41" s="208">
        <v>6.0877204466320372</v>
      </c>
      <c r="BM41" s="208">
        <v>5.6730434935337479</v>
      </c>
      <c r="BN41" s="208">
        <v>0.92620088584428562</v>
      </c>
      <c r="BO41" s="208">
        <v>0.86331471749642297</v>
      </c>
      <c r="BP41" s="209">
        <v>6676.7358369403346</v>
      </c>
      <c r="BQ41" s="209">
        <v>6230.6531809978833</v>
      </c>
      <c r="BR41" s="209">
        <v>5927.0716077922871</v>
      </c>
      <c r="BS41" s="210"/>
      <c r="BT41" s="221"/>
      <c r="BU41" s="221"/>
      <c r="BV41" s="211"/>
      <c r="BW41" s="211"/>
      <c r="BX41" s="211"/>
      <c r="BY41" s="211"/>
      <c r="BZ41" s="212"/>
      <c r="CA41" s="222"/>
      <c r="CB41" s="221"/>
      <c r="CC41" s="211"/>
      <c r="CD41" s="211"/>
      <c r="CE41" s="211"/>
      <c r="CF41" s="211"/>
      <c r="CG41" s="214"/>
      <c r="CH41" s="211"/>
      <c r="CI41" s="211"/>
      <c r="CJ41" s="211"/>
      <c r="CK41" s="211"/>
    </row>
    <row r="42" spans="1:89">
      <c r="A42" s="223">
        <v>39</v>
      </c>
      <c r="B42" s="196">
        <v>18</v>
      </c>
      <c r="C42" s="240">
        <v>45901</v>
      </c>
      <c r="D42" s="223" t="s">
        <v>133</v>
      </c>
      <c r="E42" s="197" t="s">
        <v>98</v>
      </c>
      <c r="F42" s="198" t="s">
        <v>245</v>
      </c>
      <c r="G42" s="198" t="s">
        <v>246</v>
      </c>
      <c r="H42" s="198" t="s">
        <v>247</v>
      </c>
      <c r="I42" s="224" t="s">
        <v>197</v>
      </c>
      <c r="J42" s="200">
        <v>45920</v>
      </c>
      <c r="K42" s="200">
        <v>45927.165706018517</v>
      </c>
      <c r="L42" s="200">
        <v>45929.885706018518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2"/>
      <c r="AA42" s="201"/>
      <c r="AB42" s="201"/>
      <c r="AC42" s="201"/>
      <c r="AD42" s="202"/>
      <c r="AE42" s="202"/>
      <c r="AF42" s="201"/>
      <c r="AG42" s="202"/>
      <c r="AH42" s="201"/>
      <c r="AI42" s="201"/>
      <c r="AJ42" s="202"/>
      <c r="AK42" s="202"/>
      <c r="AL42" s="202"/>
      <c r="AM42" s="201"/>
      <c r="AN42" s="201"/>
      <c r="AO42" s="203"/>
      <c r="AP42" s="201"/>
      <c r="AQ42" s="201"/>
      <c r="AR42" s="202"/>
      <c r="AS42" s="201"/>
      <c r="AT42" s="201"/>
      <c r="AU42" s="202"/>
      <c r="AV42" s="203"/>
      <c r="AW42" s="203"/>
      <c r="AX42" s="201"/>
      <c r="AY42" s="202"/>
      <c r="AZ42" s="202"/>
      <c r="BA42" s="202"/>
      <c r="BB42" s="201"/>
      <c r="BC42" s="201"/>
      <c r="BD42" s="204">
        <v>68000</v>
      </c>
      <c r="BE42" s="241">
        <v>45915</v>
      </c>
      <c r="BF42" s="241">
        <v>45924</v>
      </c>
      <c r="BG42" s="205">
        <v>0.88970588235294112</v>
      </c>
      <c r="BH42" s="206" t="s">
        <v>115</v>
      </c>
      <c r="BI42" s="207"/>
      <c r="BJ42" s="208">
        <v>17.339358760929681</v>
      </c>
      <c r="BK42" s="208">
        <v>11.43344875715462</v>
      </c>
      <c r="BL42" s="208">
        <v>6.4163563060724327</v>
      </c>
      <c r="BM42" s="208">
        <v>5.9852784103345984</v>
      </c>
      <c r="BN42" s="208">
        <v>1.416803852914158</v>
      </c>
      <c r="BO42" s="208">
        <v>1.3273936157284429</v>
      </c>
      <c r="BP42" s="209">
        <v>6279.1581863980064</v>
      </c>
      <c r="BQ42" s="209">
        <v>5861.884322941276</v>
      </c>
      <c r="BR42" s="209">
        <v>5560.4698702864553</v>
      </c>
      <c r="BS42" s="210"/>
      <c r="BT42" s="221"/>
      <c r="BU42" s="221"/>
      <c r="BV42" s="211"/>
      <c r="BW42" s="211"/>
      <c r="BX42" s="211"/>
      <c r="BY42" s="211"/>
      <c r="BZ42" s="212"/>
      <c r="CA42" s="222"/>
      <c r="CB42" s="221"/>
      <c r="CC42" s="211"/>
      <c r="CD42" s="211"/>
      <c r="CE42" s="211"/>
      <c r="CF42" s="211"/>
      <c r="CG42" s="214"/>
      <c r="CH42" s="211"/>
      <c r="CI42" s="211"/>
      <c r="CJ42" s="211"/>
      <c r="CK42" s="211"/>
    </row>
    <row r="43" spans="1:89">
      <c r="A43" s="319">
        <v>40</v>
      </c>
      <c r="B43" s="320">
        <v>19</v>
      </c>
      <c r="C43" s="321">
        <v>45901</v>
      </c>
      <c r="D43" s="319" t="s">
        <v>133</v>
      </c>
      <c r="E43" s="293" t="s">
        <v>98</v>
      </c>
      <c r="F43" s="322" t="s">
        <v>141</v>
      </c>
      <c r="G43" s="322" t="s">
        <v>248</v>
      </c>
      <c r="H43" s="322" t="s">
        <v>249</v>
      </c>
      <c r="I43" s="296" t="s">
        <v>197</v>
      </c>
      <c r="J43" s="323">
        <v>45920</v>
      </c>
      <c r="K43" s="323">
        <v>45927.291666666657</v>
      </c>
      <c r="L43" s="323">
        <v>45930.958333333343</v>
      </c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03"/>
      <c r="AA43" s="324"/>
      <c r="AB43" s="324"/>
      <c r="AC43" s="324"/>
      <c r="AD43" s="303"/>
      <c r="AE43" s="303"/>
      <c r="AF43" s="324"/>
      <c r="AG43" s="303"/>
      <c r="AH43" s="324"/>
      <c r="AI43" s="324"/>
      <c r="AJ43" s="303"/>
      <c r="AK43" s="303"/>
      <c r="AL43" s="303"/>
      <c r="AM43" s="324"/>
      <c r="AN43" s="324"/>
      <c r="AO43" s="301"/>
      <c r="AP43" s="324"/>
      <c r="AQ43" s="324"/>
      <c r="AR43" s="303"/>
      <c r="AS43" s="324"/>
      <c r="AT43" s="324"/>
      <c r="AU43" s="303"/>
      <c r="AV43" s="301"/>
      <c r="AW43" s="301"/>
      <c r="AX43" s="324"/>
      <c r="AY43" s="303"/>
      <c r="AZ43" s="303"/>
      <c r="BA43" s="303"/>
      <c r="BB43" s="324"/>
      <c r="BC43" s="324"/>
      <c r="BD43" s="304">
        <v>55000</v>
      </c>
      <c r="BE43" s="325">
        <v>45920</v>
      </c>
      <c r="BF43" s="325">
        <v>45929</v>
      </c>
      <c r="BG43" s="307">
        <v>0.63090909090909086</v>
      </c>
      <c r="BH43" s="308" t="s">
        <v>115</v>
      </c>
      <c r="BI43" s="309"/>
      <c r="BJ43" s="310">
        <v>18.582778847993509</v>
      </c>
      <c r="BK43" s="310">
        <v>11.424959354939849</v>
      </c>
      <c r="BL43" s="310">
        <v>5.4948692008410287</v>
      </c>
      <c r="BM43" s="310">
        <v>5.019814092068418</v>
      </c>
      <c r="BN43" s="310">
        <v>0.97549670130340471</v>
      </c>
      <c r="BO43" s="310">
        <v>0.89995501128479938</v>
      </c>
      <c r="BP43" s="311">
        <v>6307.2111483675562</v>
      </c>
      <c r="BQ43" s="311">
        <v>5809.045674873646</v>
      </c>
      <c r="BR43" s="311">
        <v>5487.5118972619657</v>
      </c>
      <c r="BS43" s="326"/>
      <c r="BT43" s="312"/>
      <c r="BU43" s="312"/>
      <c r="BV43" s="314"/>
      <c r="BW43" s="314"/>
      <c r="BX43" s="314"/>
      <c r="BY43" s="314"/>
      <c r="BZ43" s="315"/>
      <c r="CA43" s="316"/>
      <c r="CB43" s="312"/>
      <c r="CC43" s="314"/>
      <c r="CD43" s="314"/>
      <c r="CE43" s="314"/>
      <c r="CF43" s="314"/>
      <c r="CG43" s="318"/>
      <c r="CH43" s="314"/>
      <c r="CI43" s="314"/>
      <c r="CJ43" s="314"/>
      <c r="CK43" s="314"/>
    </row>
    <row r="44" spans="1:89">
      <c r="A44" s="319">
        <v>41</v>
      </c>
      <c r="B44" s="320">
        <v>20</v>
      </c>
      <c r="C44" s="321">
        <v>45901</v>
      </c>
      <c r="D44" s="319" t="s">
        <v>26</v>
      </c>
      <c r="E44" s="293" t="s">
        <v>179</v>
      </c>
      <c r="F44" s="322" t="s">
        <v>250</v>
      </c>
      <c r="G44" s="322" t="s">
        <v>251</v>
      </c>
      <c r="H44" s="322" t="s">
        <v>252</v>
      </c>
      <c r="I44" s="296" t="s">
        <v>253</v>
      </c>
      <c r="J44" s="323">
        <v>45899.166666666657</v>
      </c>
      <c r="K44" s="323">
        <v>45900.916666666657</v>
      </c>
      <c r="L44" s="323">
        <v>45901.545138888891</v>
      </c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03"/>
      <c r="AA44" s="324"/>
      <c r="AB44" s="324"/>
      <c r="AC44" s="324"/>
      <c r="AD44" s="303"/>
      <c r="AE44" s="303"/>
      <c r="AF44" s="324"/>
      <c r="AG44" s="303"/>
      <c r="AH44" s="324"/>
      <c r="AI44" s="324"/>
      <c r="AJ44" s="303"/>
      <c r="AK44" s="303"/>
      <c r="AL44" s="303"/>
      <c r="AM44" s="324"/>
      <c r="AN44" s="324"/>
      <c r="AO44" s="301"/>
      <c r="AP44" s="324"/>
      <c r="AQ44" s="324"/>
      <c r="AR44" s="303"/>
      <c r="AS44" s="324"/>
      <c r="AT44" s="324"/>
      <c r="AU44" s="303"/>
      <c r="AV44" s="301"/>
      <c r="AW44" s="301"/>
      <c r="AX44" s="324"/>
      <c r="AY44" s="303"/>
      <c r="AZ44" s="303"/>
      <c r="BA44" s="303"/>
      <c r="BB44" s="324"/>
      <c r="BC44" s="324"/>
      <c r="BD44" s="304">
        <v>7502.83</v>
      </c>
      <c r="BE44" s="325"/>
      <c r="BF44" s="325"/>
      <c r="BG44" s="307">
        <v>1</v>
      </c>
      <c r="BH44" s="308" t="s">
        <v>108</v>
      </c>
      <c r="BI44" s="309"/>
      <c r="BJ44" s="310">
        <v>40.099840771331998</v>
      </c>
      <c r="BK44" s="310">
        <v>18.183096203780721</v>
      </c>
      <c r="BL44" s="310">
        <v>10.416917607435501</v>
      </c>
      <c r="BM44" s="310">
        <v>7.6264805242622167</v>
      </c>
      <c r="BN44" s="310">
        <v>0.18110633695464079</v>
      </c>
      <c r="BO44" s="310">
        <v>0.1325923851619166</v>
      </c>
      <c r="BP44" s="311">
        <v>4884.3389589984508</v>
      </c>
      <c r="BQ44" s="311">
        <v>3575.9441850733219</v>
      </c>
      <c r="BR44" s="311">
        <v>3210.4969765346941</v>
      </c>
      <c r="BS44" s="326"/>
      <c r="BT44" s="312"/>
      <c r="BU44" s="312"/>
      <c r="BV44" s="314"/>
      <c r="BW44" s="314"/>
      <c r="BX44" s="314"/>
      <c r="BY44" s="314"/>
      <c r="BZ44" s="315"/>
      <c r="CA44" s="316"/>
      <c r="CB44" s="312"/>
      <c r="CC44" s="314"/>
      <c r="CD44" s="314"/>
      <c r="CE44" s="314"/>
      <c r="CF44" s="314"/>
      <c r="CG44" s="318"/>
      <c r="CH44" s="314"/>
      <c r="CI44" s="314"/>
      <c r="CJ44" s="314"/>
      <c r="CK44" s="314"/>
    </row>
    <row r="45" spans="1:89">
      <c r="A45" s="319">
        <v>42</v>
      </c>
      <c r="B45" s="320">
        <v>21</v>
      </c>
      <c r="C45" s="321">
        <v>45901</v>
      </c>
      <c r="D45" s="319" t="s">
        <v>26</v>
      </c>
      <c r="E45" s="293" t="s">
        <v>179</v>
      </c>
      <c r="F45" s="322" t="s">
        <v>186</v>
      </c>
      <c r="G45" s="322" t="s">
        <v>251</v>
      </c>
      <c r="H45" s="322" t="s">
        <v>254</v>
      </c>
      <c r="I45" s="296" t="s">
        <v>253</v>
      </c>
      <c r="J45" s="323">
        <v>45907</v>
      </c>
      <c r="K45" s="323">
        <v>45907.041666666657</v>
      </c>
      <c r="L45" s="323">
        <v>45907.791666666657</v>
      </c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03"/>
      <c r="AA45" s="324"/>
      <c r="AB45" s="324"/>
      <c r="AC45" s="324"/>
      <c r="AD45" s="303"/>
      <c r="AE45" s="303"/>
      <c r="AF45" s="324"/>
      <c r="AG45" s="303"/>
      <c r="AH45" s="324"/>
      <c r="AI45" s="324"/>
      <c r="AJ45" s="303"/>
      <c r="AK45" s="303"/>
      <c r="AL45" s="303"/>
      <c r="AM45" s="324"/>
      <c r="AN45" s="324"/>
      <c r="AO45" s="301"/>
      <c r="AP45" s="324"/>
      <c r="AQ45" s="324"/>
      <c r="AR45" s="303"/>
      <c r="AS45" s="324"/>
      <c r="AT45" s="324"/>
      <c r="AU45" s="303"/>
      <c r="AV45" s="301"/>
      <c r="AW45" s="301"/>
      <c r="AX45" s="324"/>
      <c r="AY45" s="303"/>
      <c r="AZ45" s="303"/>
      <c r="BA45" s="303"/>
      <c r="BB45" s="324"/>
      <c r="BC45" s="324"/>
      <c r="BD45" s="304">
        <v>7500</v>
      </c>
      <c r="BE45" s="325"/>
      <c r="BF45" s="325"/>
      <c r="BG45" s="307">
        <v>1</v>
      </c>
      <c r="BH45" s="308" t="s">
        <v>115</v>
      </c>
      <c r="BI45" s="309"/>
      <c r="BJ45" s="310">
        <v>40.099840771331998</v>
      </c>
      <c r="BK45" s="310">
        <v>18.183096203780721</v>
      </c>
      <c r="BL45" s="310">
        <v>10.416917607435501</v>
      </c>
      <c r="BM45" s="310">
        <v>7.6264805242622167</v>
      </c>
      <c r="BN45" s="310">
        <v>0.18110633695464079</v>
      </c>
      <c r="BO45" s="310">
        <v>0.1325923851619166</v>
      </c>
      <c r="BP45" s="311">
        <v>4884.3389589984508</v>
      </c>
      <c r="BQ45" s="311">
        <v>3575.9441850733219</v>
      </c>
      <c r="BR45" s="311">
        <v>3210.4969765346941</v>
      </c>
      <c r="BS45" s="326"/>
      <c r="BT45" s="312"/>
      <c r="BU45" s="312"/>
      <c r="BV45" s="314"/>
      <c r="BW45" s="314"/>
      <c r="BX45" s="314"/>
      <c r="BY45" s="314"/>
      <c r="BZ45" s="315"/>
      <c r="CA45" s="316"/>
      <c r="CB45" s="312"/>
      <c r="CC45" s="314"/>
      <c r="CD45" s="314"/>
      <c r="CE45" s="314"/>
      <c r="CF45" s="314"/>
      <c r="CG45" s="318"/>
      <c r="CH45" s="314"/>
      <c r="CI45" s="314"/>
      <c r="CJ45" s="314"/>
      <c r="CK45" s="314"/>
    </row>
    <row r="46" spans="1:89">
      <c r="A46" s="319">
        <v>43</v>
      </c>
      <c r="B46" s="320">
        <v>22</v>
      </c>
      <c r="C46" s="321">
        <v>45901</v>
      </c>
      <c r="D46" s="319" t="s">
        <v>26</v>
      </c>
      <c r="E46" s="293" t="s">
        <v>179</v>
      </c>
      <c r="F46" s="322" t="s">
        <v>186</v>
      </c>
      <c r="G46" s="322" t="s">
        <v>251</v>
      </c>
      <c r="H46" s="322" t="s">
        <v>255</v>
      </c>
      <c r="I46" s="296" t="s">
        <v>253</v>
      </c>
      <c r="J46" s="323">
        <v>45909</v>
      </c>
      <c r="K46" s="323">
        <v>45909.041666666657</v>
      </c>
      <c r="L46" s="323">
        <v>45909.791666666657</v>
      </c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03"/>
      <c r="AA46" s="324"/>
      <c r="AB46" s="324"/>
      <c r="AC46" s="324"/>
      <c r="AD46" s="303"/>
      <c r="AE46" s="303"/>
      <c r="AF46" s="324"/>
      <c r="AG46" s="303"/>
      <c r="AH46" s="324"/>
      <c r="AI46" s="324"/>
      <c r="AJ46" s="303"/>
      <c r="AK46" s="303"/>
      <c r="AL46" s="303"/>
      <c r="AM46" s="324"/>
      <c r="AN46" s="324"/>
      <c r="AO46" s="301"/>
      <c r="AP46" s="324"/>
      <c r="AQ46" s="324"/>
      <c r="AR46" s="303"/>
      <c r="AS46" s="324"/>
      <c r="AT46" s="324"/>
      <c r="AU46" s="303"/>
      <c r="AV46" s="301"/>
      <c r="AW46" s="301"/>
      <c r="AX46" s="324"/>
      <c r="AY46" s="303"/>
      <c r="AZ46" s="303"/>
      <c r="BA46" s="303"/>
      <c r="BB46" s="324"/>
      <c r="BC46" s="324"/>
      <c r="BD46" s="304">
        <v>7500</v>
      </c>
      <c r="BE46" s="325"/>
      <c r="BF46" s="325"/>
      <c r="BG46" s="307">
        <v>1</v>
      </c>
      <c r="BH46" s="308" t="s">
        <v>115</v>
      </c>
      <c r="BI46" s="309"/>
      <c r="BJ46" s="310">
        <v>40.099840771331998</v>
      </c>
      <c r="BK46" s="310">
        <v>18.183096203780721</v>
      </c>
      <c r="BL46" s="310">
        <v>10.416917607435501</v>
      </c>
      <c r="BM46" s="310">
        <v>7.6264805242622167</v>
      </c>
      <c r="BN46" s="310">
        <v>0.18110633695464079</v>
      </c>
      <c r="BO46" s="310">
        <v>0.1325923851619166</v>
      </c>
      <c r="BP46" s="311">
        <v>4884.3389589984508</v>
      </c>
      <c r="BQ46" s="311">
        <v>3575.9441850733219</v>
      </c>
      <c r="BR46" s="311">
        <v>3210.4969765346941</v>
      </c>
      <c r="BS46" s="326"/>
      <c r="BT46" s="312"/>
      <c r="BU46" s="312"/>
      <c r="BV46" s="314"/>
      <c r="BW46" s="314"/>
      <c r="BX46" s="314"/>
      <c r="BY46" s="314"/>
      <c r="BZ46" s="315"/>
      <c r="CA46" s="316"/>
      <c r="CB46" s="312"/>
      <c r="CC46" s="314"/>
      <c r="CD46" s="314"/>
      <c r="CE46" s="314"/>
      <c r="CF46" s="314"/>
      <c r="CG46" s="318"/>
      <c r="CH46" s="314"/>
      <c r="CI46" s="314"/>
      <c r="CJ46" s="314"/>
      <c r="CK46" s="314"/>
    </row>
    <row r="47" spans="1:89">
      <c r="A47" s="319">
        <v>44</v>
      </c>
      <c r="B47" s="320">
        <v>23</v>
      </c>
      <c r="C47" s="321">
        <v>45901</v>
      </c>
      <c r="D47" s="319" t="s">
        <v>26</v>
      </c>
      <c r="E47" s="293" t="s">
        <v>179</v>
      </c>
      <c r="F47" s="322" t="s">
        <v>186</v>
      </c>
      <c r="G47" s="322" t="s">
        <v>251</v>
      </c>
      <c r="H47" s="322" t="s">
        <v>256</v>
      </c>
      <c r="I47" s="296" t="s">
        <v>253</v>
      </c>
      <c r="J47" s="323">
        <v>45911</v>
      </c>
      <c r="K47" s="323">
        <v>45911.041666666657</v>
      </c>
      <c r="L47" s="323">
        <v>45911.791666666657</v>
      </c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03"/>
      <c r="AA47" s="324"/>
      <c r="AB47" s="324"/>
      <c r="AC47" s="324"/>
      <c r="AD47" s="303"/>
      <c r="AE47" s="303"/>
      <c r="AF47" s="324"/>
      <c r="AG47" s="303"/>
      <c r="AH47" s="324"/>
      <c r="AI47" s="324"/>
      <c r="AJ47" s="303"/>
      <c r="AK47" s="303"/>
      <c r="AL47" s="303"/>
      <c r="AM47" s="324"/>
      <c r="AN47" s="324"/>
      <c r="AO47" s="301"/>
      <c r="AP47" s="324"/>
      <c r="AQ47" s="324"/>
      <c r="AR47" s="303"/>
      <c r="AS47" s="324"/>
      <c r="AT47" s="324"/>
      <c r="AU47" s="303"/>
      <c r="AV47" s="301"/>
      <c r="AW47" s="301"/>
      <c r="AX47" s="324"/>
      <c r="AY47" s="303"/>
      <c r="AZ47" s="303"/>
      <c r="BA47" s="303"/>
      <c r="BB47" s="324"/>
      <c r="BC47" s="324"/>
      <c r="BD47" s="304">
        <v>7500</v>
      </c>
      <c r="BE47" s="325"/>
      <c r="BF47" s="325"/>
      <c r="BG47" s="307">
        <v>1</v>
      </c>
      <c r="BH47" s="308" t="s">
        <v>115</v>
      </c>
      <c r="BI47" s="309"/>
      <c r="BJ47" s="310">
        <v>40.099840771331998</v>
      </c>
      <c r="BK47" s="310">
        <v>18.183096203780721</v>
      </c>
      <c r="BL47" s="310">
        <v>10.416917607435501</v>
      </c>
      <c r="BM47" s="310">
        <v>7.6264805242622167</v>
      </c>
      <c r="BN47" s="310">
        <v>0.18110633695464079</v>
      </c>
      <c r="BO47" s="310">
        <v>0.1325923851619166</v>
      </c>
      <c r="BP47" s="311">
        <v>4884.3389589984508</v>
      </c>
      <c r="BQ47" s="311">
        <v>3575.9441850733219</v>
      </c>
      <c r="BR47" s="311">
        <v>3210.4969765346941</v>
      </c>
      <c r="BS47" s="326"/>
      <c r="BT47" s="312"/>
      <c r="BU47" s="312"/>
      <c r="BV47" s="314"/>
      <c r="BW47" s="314"/>
      <c r="BX47" s="314"/>
      <c r="BY47" s="314"/>
      <c r="BZ47" s="315"/>
      <c r="CA47" s="316"/>
      <c r="CB47" s="312"/>
      <c r="CC47" s="314"/>
      <c r="CD47" s="314"/>
      <c r="CE47" s="314"/>
      <c r="CF47" s="314"/>
      <c r="CG47" s="318"/>
      <c r="CH47" s="314"/>
      <c r="CI47" s="314"/>
      <c r="CJ47" s="314"/>
      <c r="CK47" s="314"/>
    </row>
    <row r="48" spans="1:89">
      <c r="A48" s="319">
        <v>45</v>
      </c>
      <c r="B48" s="320">
        <v>24</v>
      </c>
      <c r="C48" s="321">
        <v>45901</v>
      </c>
      <c r="D48" s="319" t="s">
        <v>26</v>
      </c>
      <c r="E48" s="293" t="s">
        <v>179</v>
      </c>
      <c r="F48" s="322" t="s">
        <v>186</v>
      </c>
      <c r="G48" s="322" t="s">
        <v>251</v>
      </c>
      <c r="H48" s="322" t="s">
        <v>257</v>
      </c>
      <c r="I48" s="296" t="s">
        <v>253</v>
      </c>
      <c r="J48" s="323">
        <v>45913</v>
      </c>
      <c r="K48" s="323">
        <v>45913.041666666657</v>
      </c>
      <c r="L48" s="323">
        <v>45913.791666666657</v>
      </c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03"/>
      <c r="AA48" s="324"/>
      <c r="AB48" s="324"/>
      <c r="AC48" s="324"/>
      <c r="AD48" s="303"/>
      <c r="AE48" s="303"/>
      <c r="AF48" s="324"/>
      <c r="AG48" s="303"/>
      <c r="AH48" s="324"/>
      <c r="AI48" s="324"/>
      <c r="AJ48" s="303"/>
      <c r="AK48" s="303"/>
      <c r="AL48" s="303"/>
      <c r="AM48" s="324"/>
      <c r="AN48" s="324"/>
      <c r="AO48" s="301"/>
      <c r="AP48" s="324"/>
      <c r="AQ48" s="324"/>
      <c r="AR48" s="303"/>
      <c r="AS48" s="324"/>
      <c r="AT48" s="324"/>
      <c r="AU48" s="303"/>
      <c r="AV48" s="301"/>
      <c r="AW48" s="301"/>
      <c r="AX48" s="324"/>
      <c r="AY48" s="303"/>
      <c r="AZ48" s="303"/>
      <c r="BA48" s="303"/>
      <c r="BB48" s="324"/>
      <c r="BC48" s="324"/>
      <c r="BD48" s="304">
        <v>7500</v>
      </c>
      <c r="BE48" s="325"/>
      <c r="BF48" s="325"/>
      <c r="BG48" s="307">
        <v>1</v>
      </c>
      <c r="BH48" s="308" t="s">
        <v>115</v>
      </c>
      <c r="BI48" s="309"/>
      <c r="BJ48" s="310">
        <v>40.099840771331998</v>
      </c>
      <c r="BK48" s="310">
        <v>18.183096203780721</v>
      </c>
      <c r="BL48" s="310">
        <v>10.416917607435501</v>
      </c>
      <c r="BM48" s="310">
        <v>7.6264805242622167</v>
      </c>
      <c r="BN48" s="310">
        <v>0.18110633695464079</v>
      </c>
      <c r="BO48" s="310">
        <v>0.1325923851619166</v>
      </c>
      <c r="BP48" s="311">
        <v>4884.3389589984508</v>
      </c>
      <c r="BQ48" s="311">
        <v>3575.9441850733219</v>
      </c>
      <c r="BR48" s="311">
        <v>3210.4969765346941</v>
      </c>
      <c r="BS48" s="326"/>
      <c r="BT48" s="312"/>
      <c r="BU48" s="312"/>
      <c r="BV48" s="314"/>
      <c r="BW48" s="314"/>
      <c r="BX48" s="314"/>
      <c r="BY48" s="314"/>
      <c r="BZ48" s="315"/>
      <c r="CA48" s="316"/>
      <c r="CB48" s="312"/>
      <c r="CC48" s="314"/>
      <c r="CD48" s="314"/>
      <c r="CE48" s="314"/>
      <c r="CF48" s="314"/>
      <c r="CG48" s="318"/>
      <c r="CH48" s="314"/>
      <c r="CI48" s="314"/>
      <c r="CJ48" s="314"/>
      <c r="CK48" s="314"/>
    </row>
    <row r="49" spans="1:89">
      <c r="A49" s="319">
        <v>46</v>
      </c>
      <c r="B49" s="320">
        <v>25</v>
      </c>
      <c r="C49" s="321">
        <v>45901</v>
      </c>
      <c r="D49" s="319" t="s">
        <v>26</v>
      </c>
      <c r="E49" s="293" t="s">
        <v>179</v>
      </c>
      <c r="F49" s="322" t="s">
        <v>186</v>
      </c>
      <c r="G49" s="322" t="s">
        <v>251</v>
      </c>
      <c r="H49" s="322" t="s">
        <v>258</v>
      </c>
      <c r="I49" s="296" t="s">
        <v>253</v>
      </c>
      <c r="J49" s="323">
        <v>45915</v>
      </c>
      <c r="K49" s="323">
        <v>45920</v>
      </c>
      <c r="L49" s="323">
        <v>45920.75</v>
      </c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03"/>
      <c r="AA49" s="324"/>
      <c r="AB49" s="324"/>
      <c r="AC49" s="324"/>
      <c r="AD49" s="303"/>
      <c r="AE49" s="303"/>
      <c r="AF49" s="324"/>
      <c r="AG49" s="303"/>
      <c r="AH49" s="324"/>
      <c r="AI49" s="324"/>
      <c r="AJ49" s="303"/>
      <c r="AK49" s="303"/>
      <c r="AL49" s="303"/>
      <c r="AM49" s="324"/>
      <c r="AN49" s="324"/>
      <c r="AO49" s="301"/>
      <c r="AP49" s="324"/>
      <c r="AQ49" s="324"/>
      <c r="AR49" s="303"/>
      <c r="AS49" s="324"/>
      <c r="AT49" s="324"/>
      <c r="AU49" s="303"/>
      <c r="AV49" s="301"/>
      <c r="AW49" s="301"/>
      <c r="AX49" s="324"/>
      <c r="AY49" s="303"/>
      <c r="AZ49" s="303"/>
      <c r="BA49" s="303"/>
      <c r="BB49" s="324"/>
      <c r="BC49" s="324"/>
      <c r="BD49" s="304">
        <v>7500</v>
      </c>
      <c r="BE49" s="325"/>
      <c r="BF49" s="325"/>
      <c r="BG49" s="307">
        <v>1</v>
      </c>
      <c r="BH49" s="308" t="s">
        <v>115</v>
      </c>
      <c r="BI49" s="309"/>
      <c r="BJ49" s="310">
        <v>40.099840771331998</v>
      </c>
      <c r="BK49" s="310">
        <v>18.183096203780721</v>
      </c>
      <c r="BL49" s="310">
        <v>10.416917607435501</v>
      </c>
      <c r="BM49" s="310">
        <v>7.6264805242622167</v>
      </c>
      <c r="BN49" s="310">
        <v>0.18110633695464079</v>
      </c>
      <c r="BO49" s="310">
        <v>0.1325923851619166</v>
      </c>
      <c r="BP49" s="311">
        <v>4884.3389589984508</v>
      </c>
      <c r="BQ49" s="311">
        <v>3575.9441850733219</v>
      </c>
      <c r="BR49" s="311">
        <v>3210.4969765346941</v>
      </c>
      <c r="BS49" s="326"/>
      <c r="BT49" s="312"/>
      <c r="BU49" s="312"/>
      <c r="BV49" s="314"/>
      <c r="BW49" s="314"/>
      <c r="BX49" s="314"/>
      <c r="BY49" s="314"/>
      <c r="BZ49" s="315"/>
      <c r="CA49" s="316"/>
      <c r="CB49" s="312"/>
      <c r="CC49" s="314"/>
      <c r="CD49" s="314"/>
      <c r="CE49" s="314"/>
      <c r="CF49" s="314"/>
      <c r="CG49" s="318"/>
      <c r="CH49" s="314"/>
      <c r="CI49" s="314"/>
      <c r="CJ49" s="314"/>
      <c r="CK49" s="314"/>
    </row>
    <row r="50" spans="1:89">
      <c r="A50" s="319">
        <v>47</v>
      </c>
      <c r="B50" s="320">
        <v>26</v>
      </c>
      <c r="C50" s="321">
        <v>45901</v>
      </c>
      <c r="D50" s="319" t="s">
        <v>26</v>
      </c>
      <c r="E50" s="293" t="s">
        <v>179</v>
      </c>
      <c r="F50" s="322" t="s">
        <v>186</v>
      </c>
      <c r="G50" s="322" t="s">
        <v>251</v>
      </c>
      <c r="H50" s="322" t="s">
        <v>259</v>
      </c>
      <c r="I50" s="296" t="s">
        <v>253</v>
      </c>
      <c r="J50" s="323">
        <v>45917</v>
      </c>
      <c r="K50" s="323">
        <v>45923</v>
      </c>
      <c r="L50" s="323">
        <v>45923.75</v>
      </c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03"/>
      <c r="AA50" s="324"/>
      <c r="AB50" s="324"/>
      <c r="AC50" s="324"/>
      <c r="AD50" s="303"/>
      <c r="AE50" s="303"/>
      <c r="AF50" s="324"/>
      <c r="AG50" s="303"/>
      <c r="AH50" s="324"/>
      <c r="AI50" s="324"/>
      <c r="AJ50" s="303"/>
      <c r="AK50" s="303"/>
      <c r="AL50" s="303"/>
      <c r="AM50" s="324"/>
      <c r="AN50" s="324"/>
      <c r="AO50" s="301"/>
      <c r="AP50" s="324"/>
      <c r="AQ50" s="324"/>
      <c r="AR50" s="303"/>
      <c r="AS50" s="324"/>
      <c r="AT50" s="324"/>
      <c r="AU50" s="303"/>
      <c r="AV50" s="301"/>
      <c r="AW50" s="301"/>
      <c r="AX50" s="324"/>
      <c r="AY50" s="303"/>
      <c r="AZ50" s="303"/>
      <c r="BA50" s="303"/>
      <c r="BB50" s="324"/>
      <c r="BC50" s="324"/>
      <c r="BD50" s="304">
        <v>7500</v>
      </c>
      <c r="BE50" s="325"/>
      <c r="BF50" s="325"/>
      <c r="BG50" s="307">
        <v>1</v>
      </c>
      <c r="BH50" s="308" t="s">
        <v>115</v>
      </c>
      <c r="BI50" s="309"/>
      <c r="BJ50" s="310">
        <v>40.099840771331998</v>
      </c>
      <c r="BK50" s="310">
        <v>18.183096203780721</v>
      </c>
      <c r="BL50" s="310">
        <v>10.416917607435501</v>
      </c>
      <c r="BM50" s="310">
        <v>7.6264805242622167</v>
      </c>
      <c r="BN50" s="310">
        <v>0.18110633695464079</v>
      </c>
      <c r="BO50" s="310">
        <v>0.1325923851619166</v>
      </c>
      <c r="BP50" s="311">
        <v>4884.3389589984508</v>
      </c>
      <c r="BQ50" s="311">
        <v>3575.9441850733219</v>
      </c>
      <c r="BR50" s="311">
        <v>3210.4969765346941</v>
      </c>
      <c r="BS50" s="326"/>
      <c r="BT50" s="312"/>
      <c r="BU50" s="312"/>
      <c r="BV50" s="314"/>
      <c r="BW50" s="314"/>
      <c r="BX50" s="314"/>
      <c r="BY50" s="314"/>
      <c r="BZ50" s="315"/>
      <c r="CA50" s="316"/>
      <c r="CB50" s="312"/>
      <c r="CC50" s="314"/>
      <c r="CD50" s="314"/>
      <c r="CE50" s="314"/>
      <c r="CF50" s="314"/>
      <c r="CG50" s="318"/>
      <c r="CH50" s="314"/>
      <c r="CI50" s="314"/>
      <c r="CJ50" s="314"/>
      <c r="CK50" s="314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K45"/>
  <sheetViews>
    <sheetView zoomScale="70" zoomScaleNormal="60" workbookViewId="0">
      <selection activeCell="E45" sqref="E45:E51"/>
    </sheetView>
  </sheetViews>
  <sheetFormatPr defaultRowHeight="14.4"/>
  <cols>
    <col min="1" max="1" width="6.21875" style="235" bestFit="1" customWidth="1"/>
    <col min="2" max="2" width="15.21875" bestFit="1" customWidth="1"/>
    <col min="4" max="4" width="11.77734375" bestFit="1" customWidth="1"/>
    <col min="5" max="5" width="19.44140625" bestFit="1" customWidth="1"/>
    <col min="6" max="6" width="23" bestFit="1" customWidth="1"/>
    <col min="7" max="7" width="48.21875" bestFit="1" customWidth="1"/>
    <col min="8" max="8" width="34.77734375" bestFit="1" customWidth="1"/>
    <col min="9" max="9" width="12.21875" bestFit="1" customWidth="1"/>
    <col min="10" max="11" width="14.77734375" bestFit="1" customWidth="1"/>
    <col min="12" max="12" width="15.77734375" customWidth="1"/>
    <col min="13" max="13" width="18.44140625" bestFit="1" customWidth="1"/>
    <col min="14" max="14" width="18.77734375" bestFit="1" customWidth="1"/>
    <col min="15" max="15" width="17.77734375" bestFit="1" customWidth="1"/>
    <col min="16" max="16" width="18.44140625" bestFit="1" customWidth="1"/>
    <col min="17" max="17" width="18.21875" bestFit="1" customWidth="1"/>
    <col min="18" max="18" width="14.77734375" bestFit="1" customWidth="1"/>
    <col min="19" max="19" width="15.21875" bestFit="1" customWidth="1"/>
    <col min="20" max="20" width="14.77734375" bestFit="1" customWidth="1"/>
    <col min="21" max="21" width="14.44140625" bestFit="1" customWidth="1"/>
    <col min="22" max="22" width="14.5546875" bestFit="1" customWidth="1"/>
    <col min="23" max="24" width="7.21875" bestFit="1" customWidth="1"/>
    <col min="25" max="25" width="11.21875" bestFit="1" customWidth="1"/>
    <col min="26" max="26" width="14" bestFit="1" customWidth="1"/>
    <col min="27" max="27" width="15.77734375" bestFit="1" customWidth="1"/>
    <col min="28" max="28" width="11.44140625" bestFit="1" customWidth="1"/>
    <col min="29" max="29" width="11.5546875" bestFit="1" customWidth="1"/>
    <col min="30" max="30" width="11.44140625" bestFit="1" customWidth="1"/>
    <col min="31" max="31" width="11.5546875" bestFit="1" customWidth="1"/>
    <col min="32" max="33" width="11.44140625" bestFit="1" customWidth="1"/>
    <col min="34" max="34" width="11.77734375" bestFit="1" customWidth="1"/>
    <col min="35" max="35" width="10.77734375" bestFit="1" customWidth="1"/>
    <col min="36" max="36" width="13.21875" bestFit="1" customWidth="1"/>
    <col min="37" max="38" width="9.44140625" bestFit="1" customWidth="1"/>
    <col min="39" max="39" width="13.77734375" bestFit="1" customWidth="1"/>
    <col min="40" max="40" width="10.77734375" bestFit="1" customWidth="1"/>
    <col min="41" max="41" width="11.44140625" bestFit="1" customWidth="1"/>
    <col min="42" max="43" width="11.5546875" bestFit="1" customWidth="1"/>
    <col min="44" max="45" width="11.21875" bestFit="1" customWidth="1"/>
    <col min="46" max="46" width="11.5546875" bestFit="1" customWidth="1"/>
    <col min="47" max="47" width="10.77734375" bestFit="1" customWidth="1"/>
    <col min="48" max="48" width="11.77734375" bestFit="1" customWidth="1"/>
    <col min="49" max="49" width="11.44140625" bestFit="1" customWidth="1"/>
    <col min="50" max="51" width="11.21875" bestFit="1" customWidth="1"/>
    <col min="52" max="52" width="10.5546875" bestFit="1" customWidth="1"/>
    <col min="53" max="54" width="11.44140625" bestFit="1" customWidth="1"/>
    <col min="55" max="55" width="11" bestFit="1" customWidth="1"/>
    <col min="56" max="56" width="8.21875" bestFit="1" customWidth="1"/>
    <col min="57" max="57" width="6.5546875" bestFit="1" customWidth="1"/>
    <col min="58" max="58" width="6.44140625" bestFit="1" customWidth="1"/>
    <col min="59" max="59" width="8.21875" customWidth="1"/>
    <col min="60" max="60" width="10.44140625" bestFit="1" customWidth="1"/>
    <col min="61" max="61" width="20.21875" bestFit="1" customWidth="1"/>
    <col min="62" max="62" width="10.77734375" bestFit="1" customWidth="1"/>
    <col min="63" max="63" width="9.77734375" bestFit="1" customWidth="1"/>
    <col min="64" max="65" width="12.21875" bestFit="1" customWidth="1"/>
    <col min="66" max="69" width="10.5546875" bestFit="1" customWidth="1"/>
    <col min="70" max="70" width="12" bestFit="1" customWidth="1"/>
    <col min="71" max="76" width="7.44140625" bestFit="1" customWidth="1"/>
    <col min="77" max="77" width="6.21875" bestFit="1" customWidth="1"/>
    <col min="78" max="83" width="7.5546875" bestFit="1" customWidth="1"/>
    <col min="84" max="84" width="8.5546875" bestFit="1" customWidth="1"/>
    <col min="85" max="85" width="9.21875" bestFit="1" customWidth="1"/>
    <col min="86" max="89" width="12.44140625" bestFit="1" customWidth="1"/>
  </cols>
  <sheetData>
    <row r="3" spans="1:89">
      <c r="A3" s="231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11</v>
      </c>
      <c r="L3" s="9" t="s">
        <v>13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25</v>
      </c>
      <c r="X3" s="17" t="s">
        <v>26</v>
      </c>
      <c r="Y3" s="17" t="s">
        <v>28</v>
      </c>
      <c r="Z3" s="17" t="s">
        <v>29</v>
      </c>
      <c r="AA3" s="17" t="s">
        <v>30</v>
      </c>
      <c r="AB3" s="18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7" t="s">
        <v>36</v>
      </c>
      <c r="AH3" s="17" t="s">
        <v>37</v>
      </c>
      <c r="AI3" s="17" t="s">
        <v>38</v>
      </c>
      <c r="AJ3" s="17" t="s">
        <v>39</v>
      </c>
      <c r="AK3" s="30" t="s">
        <v>40</v>
      </c>
      <c r="AL3" s="19" t="s">
        <v>41</v>
      </c>
      <c r="AM3" s="18" t="s">
        <v>42</v>
      </c>
      <c r="AN3" s="17" t="s">
        <v>43</v>
      </c>
      <c r="AO3" s="18" t="s">
        <v>44</v>
      </c>
      <c r="AP3" s="17" t="s">
        <v>45</v>
      </c>
      <c r="AQ3" s="18" t="s">
        <v>46</v>
      </c>
      <c r="AR3" s="18" t="s">
        <v>47</v>
      </c>
      <c r="AS3" s="17" t="s">
        <v>48</v>
      </c>
      <c r="AT3" s="18" t="s">
        <v>49</v>
      </c>
      <c r="AU3" s="18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7" t="s">
        <v>57</v>
      </c>
      <c r="BC3" s="17" t="s">
        <v>59</v>
      </c>
      <c r="BD3" s="8" t="s">
        <v>61</v>
      </c>
      <c r="BE3" s="1" t="s">
        <v>62</v>
      </c>
      <c r="BF3" s="1" t="s">
        <v>64</v>
      </c>
      <c r="BG3" s="8" t="s">
        <v>66</v>
      </c>
      <c r="BH3" s="11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73</v>
      </c>
      <c r="BO3" s="8" t="s">
        <v>74</v>
      </c>
      <c r="BP3" s="10" t="s">
        <v>75</v>
      </c>
      <c r="BQ3" s="10" t="s">
        <v>76</v>
      </c>
      <c r="BR3" s="10" t="s">
        <v>77</v>
      </c>
      <c r="BS3" s="12" t="s">
        <v>78</v>
      </c>
      <c r="BT3" s="12" t="s">
        <v>79</v>
      </c>
      <c r="BU3" s="12" t="s">
        <v>80</v>
      </c>
      <c r="BV3" s="12" t="s">
        <v>81</v>
      </c>
      <c r="BW3" s="12" t="s">
        <v>82</v>
      </c>
      <c r="BX3" s="12" t="s">
        <v>83</v>
      </c>
      <c r="BY3" s="13" t="s">
        <v>84</v>
      </c>
      <c r="BZ3" s="12" t="s">
        <v>85</v>
      </c>
      <c r="CA3" s="12" t="s">
        <v>86</v>
      </c>
      <c r="CB3" s="12" t="s">
        <v>87</v>
      </c>
      <c r="CC3" s="12" t="s">
        <v>88</v>
      </c>
      <c r="CD3" s="12" t="s">
        <v>89</v>
      </c>
      <c r="CE3" s="12" t="s">
        <v>90</v>
      </c>
      <c r="CF3" s="13" t="s">
        <v>91</v>
      </c>
      <c r="CG3" s="14" t="s">
        <v>92</v>
      </c>
      <c r="CH3" s="12" t="s">
        <v>93</v>
      </c>
      <c r="CI3" s="12" t="s">
        <v>94</v>
      </c>
      <c r="CJ3" s="12" t="s">
        <v>95</v>
      </c>
      <c r="CK3" s="12" t="s">
        <v>96</v>
      </c>
    </row>
    <row r="4" spans="1:89">
      <c r="A4" s="232">
        <v>1</v>
      </c>
      <c r="B4" s="33">
        <v>0</v>
      </c>
      <c r="C4" s="115">
        <v>45931</v>
      </c>
      <c r="D4" s="116" t="s">
        <v>133</v>
      </c>
      <c r="E4" s="15" t="s">
        <v>98</v>
      </c>
      <c r="F4" s="84" t="s">
        <v>141</v>
      </c>
      <c r="G4" s="84" t="s">
        <v>235</v>
      </c>
      <c r="H4" s="60" t="s">
        <v>260</v>
      </c>
      <c r="I4" s="84" t="s">
        <v>102</v>
      </c>
      <c r="J4" s="59">
        <v>45927</v>
      </c>
      <c r="K4" s="59">
        <v>45931.5</v>
      </c>
      <c r="L4" s="59">
        <v>45932.958333333343</v>
      </c>
      <c r="M4" s="35">
        <v>25000</v>
      </c>
      <c r="N4" s="35"/>
      <c r="O4" s="35">
        <v>5000</v>
      </c>
      <c r="P4" s="35"/>
      <c r="Q4" s="35">
        <v>4670</v>
      </c>
      <c r="R4" s="35"/>
      <c r="S4" s="35"/>
      <c r="T4" s="35"/>
      <c r="U4" s="35">
        <v>7500</v>
      </c>
      <c r="V4" s="120"/>
      <c r="W4" s="120"/>
      <c r="X4" s="120"/>
      <c r="Y4" s="35"/>
      <c r="Z4" s="22">
        <v>0</v>
      </c>
      <c r="AA4" s="35"/>
      <c r="AB4" s="35"/>
      <c r="AC4" s="35"/>
      <c r="AD4" s="23">
        <v>0</v>
      </c>
      <c r="AE4" s="23">
        <v>0</v>
      </c>
      <c r="AF4" s="120"/>
      <c r="AG4" s="23">
        <v>0</v>
      </c>
      <c r="AH4" s="120">
        <v>5330</v>
      </c>
      <c r="AI4" s="35"/>
      <c r="AJ4" s="23">
        <v>0</v>
      </c>
      <c r="AK4" s="23">
        <v>0</v>
      </c>
      <c r="AL4" s="23">
        <v>0</v>
      </c>
      <c r="AM4" s="120"/>
      <c r="AN4" s="120"/>
      <c r="AO4" s="21"/>
      <c r="AP4" s="35"/>
      <c r="AQ4" s="35"/>
      <c r="AR4" s="23">
        <v>0</v>
      </c>
      <c r="AS4" s="35"/>
      <c r="AT4" s="35"/>
      <c r="AU4" s="23">
        <v>0</v>
      </c>
      <c r="AV4" s="21">
        <v>0</v>
      </c>
      <c r="AW4" s="35"/>
      <c r="AX4" s="35"/>
      <c r="AY4" s="23">
        <v>0</v>
      </c>
      <c r="AZ4" s="23">
        <v>0</v>
      </c>
      <c r="BA4" s="23">
        <v>0</v>
      </c>
      <c r="BB4" s="120"/>
      <c r="BC4" s="35">
        <v>7500</v>
      </c>
      <c r="BD4" s="46">
        <v>70000</v>
      </c>
      <c r="BE4" s="47">
        <v>45927</v>
      </c>
      <c r="BF4" s="47">
        <v>45936</v>
      </c>
      <c r="BG4" s="43">
        <v>0.5357142857142857</v>
      </c>
      <c r="BH4" s="49" t="s">
        <v>115</v>
      </c>
      <c r="BI4" s="50"/>
      <c r="BJ4" s="51">
        <v>19.59242728033302</v>
      </c>
      <c r="BK4" s="51">
        <v>12.0496855353414</v>
      </c>
      <c r="BL4" s="51">
        <v>4.5478034279344159</v>
      </c>
      <c r="BM4" s="51">
        <v>4.1453895176527658</v>
      </c>
      <c r="BN4" s="51">
        <v>0.96765335423395149</v>
      </c>
      <c r="BO4" s="51">
        <v>0.90349808197143366</v>
      </c>
      <c r="BP4" s="52">
        <v>6236.9450252023107</v>
      </c>
      <c r="BQ4" s="52">
        <v>5717.3690388349942</v>
      </c>
      <c r="BR4" s="52">
        <v>5396.9306854649858</v>
      </c>
      <c r="BS4" s="113">
        <v>1.322747274069388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39">
        <v>-0.4389837461399359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20">
        <v>1999.999999995767</v>
      </c>
      <c r="CH4" s="32">
        <v>0</v>
      </c>
      <c r="CI4" s="32">
        <v>0</v>
      </c>
      <c r="CJ4" s="32">
        <v>0</v>
      </c>
      <c r="CK4" s="32">
        <v>0</v>
      </c>
    </row>
    <row r="5" spans="1:89">
      <c r="A5" s="233">
        <v>2</v>
      </c>
      <c r="B5" s="33">
        <v>0</v>
      </c>
      <c r="C5" s="117">
        <v>45931</v>
      </c>
      <c r="D5" s="118" t="s">
        <v>97</v>
      </c>
      <c r="E5" s="15" t="s">
        <v>98</v>
      </c>
      <c r="F5" s="85" t="s">
        <v>141</v>
      </c>
      <c r="G5" s="85" t="s">
        <v>261</v>
      </c>
      <c r="H5" s="60" t="s">
        <v>262</v>
      </c>
      <c r="I5" s="85" t="s">
        <v>102</v>
      </c>
      <c r="J5" s="59">
        <v>45928</v>
      </c>
      <c r="K5" s="59">
        <v>45933.104166666657</v>
      </c>
      <c r="L5" s="59">
        <v>45934.145833333343</v>
      </c>
      <c r="M5" s="35"/>
      <c r="N5" s="35">
        <v>7000</v>
      </c>
      <c r="O5" s="35"/>
      <c r="P5" s="35">
        <v>5000</v>
      </c>
      <c r="Q5" s="35">
        <v>35000</v>
      </c>
      <c r="R5" s="35"/>
      <c r="S5" s="35"/>
      <c r="T5" s="35"/>
      <c r="U5" s="35"/>
      <c r="V5" s="120"/>
      <c r="W5" s="120"/>
      <c r="X5" s="120"/>
      <c r="Y5" s="35"/>
      <c r="Z5" s="22">
        <v>0</v>
      </c>
      <c r="AA5" s="35"/>
      <c r="AB5" s="35"/>
      <c r="AC5" s="35">
        <v>7500</v>
      </c>
      <c r="AD5" s="23">
        <v>0</v>
      </c>
      <c r="AE5" s="23">
        <v>0</v>
      </c>
      <c r="AF5" s="120">
        <v>15000</v>
      </c>
      <c r="AG5" s="23">
        <v>0</v>
      </c>
      <c r="AH5" s="120"/>
      <c r="AI5" s="35"/>
      <c r="AJ5" s="23">
        <v>0</v>
      </c>
      <c r="AK5" s="23">
        <v>0</v>
      </c>
      <c r="AL5" s="23">
        <v>0</v>
      </c>
      <c r="AM5" s="120"/>
      <c r="AN5" s="120"/>
      <c r="AO5" s="21"/>
      <c r="AP5" s="35"/>
      <c r="AQ5" s="35"/>
      <c r="AR5" s="23">
        <v>0</v>
      </c>
      <c r="AS5" s="35"/>
      <c r="AT5" s="35"/>
      <c r="AU5" s="23">
        <v>0</v>
      </c>
      <c r="AV5" s="21">
        <v>0</v>
      </c>
      <c r="AW5" s="35"/>
      <c r="AX5" s="35">
        <v>7500</v>
      </c>
      <c r="AY5" s="23">
        <v>0</v>
      </c>
      <c r="AZ5" s="23">
        <v>0</v>
      </c>
      <c r="BA5" s="23">
        <v>0</v>
      </c>
      <c r="BB5" s="120"/>
      <c r="BC5" s="35">
        <v>0</v>
      </c>
      <c r="BD5" s="46">
        <v>50000</v>
      </c>
      <c r="BE5" s="47">
        <v>45928</v>
      </c>
      <c r="BF5" s="47">
        <v>45937</v>
      </c>
      <c r="BG5" s="43">
        <v>0.55000000000000004</v>
      </c>
      <c r="BH5" s="49" t="s">
        <v>115</v>
      </c>
      <c r="BI5" s="50"/>
      <c r="BJ5" s="51">
        <v>16.676556217930891</v>
      </c>
      <c r="BK5" s="51">
        <v>10.457207021950561</v>
      </c>
      <c r="BL5" s="51">
        <v>5.9262336662642818</v>
      </c>
      <c r="BM5" s="51">
        <v>5.517202858686872</v>
      </c>
      <c r="BN5" s="51">
        <v>1.4228867638337861</v>
      </c>
      <c r="BO5" s="51">
        <v>1.335871700931841</v>
      </c>
      <c r="BP5" s="52">
        <v>6265.2253661022296</v>
      </c>
      <c r="BQ5" s="52">
        <v>5833.6095600519347</v>
      </c>
      <c r="BR5" s="52">
        <v>5523.2490714434853</v>
      </c>
      <c r="BS5" s="113">
        <v>-1.44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39">
        <v>-5.6416961527845262E-2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20">
        <v>2000.0000000030241</v>
      </c>
      <c r="CH5" s="31">
        <v>0</v>
      </c>
      <c r="CI5" s="31">
        <v>0</v>
      </c>
      <c r="CJ5" s="31">
        <v>0</v>
      </c>
      <c r="CK5" s="31">
        <v>0</v>
      </c>
    </row>
    <row r="6" spans="1:89">
      <c r="A6" s="233">
        <v>3</v>
      </c>
      <c r="B6" s="33">
        <v>0</v>
      </c>
      <c r="C6" s="117">
        <v>45931</v>
      </c>
      <c r="D6" s="118" t="s">
        <v>155</v>
      </c>
      <c r="E6" s="15" t="s">
        <v>98</v>
      </c>
      <c r="F6" s="85" t="s">
        <v>156</v>
      </c>
      <c r="G6" s="85" t="s">
        <v>229</v>
      </c>
      <c r="H6" s="60" t="s">
        <v>263</v>
      </c>
      <c r="I6" s="85" t="s">
        <v>102</v>
      </c>
      <c r="J6" s="59">
        <v>45929</v>
      </c>
      <c r="K6" s="59">
        <v>45934.861111111109</v>
      </c>
      <c r="L6" s="59">
        <v>45936.712962962964</v>
      </c>
      <c r="M6" s="35">
        <v>7500</v>
      </c>
      <c r="N6" s="35"/>
      <c r="O6" s="35"/>
      <c r="P6" s="35"/>
      <c r="Q6" s="35">
        <v>9700</v>
      </c>
      <c r="R6" s="35"/>
      <c r="S6" s="35"/>
      <c r="T6" s="35"/>
      <c r="U6" s="35">
        <v>7500</v>
      </c>
      <c r="V6" s="120"/>
      <c r="W6" s="120"/>
      <c r="X6" s="120"/>
      <c r="Y6" s="35"/>
      <c r="Z6" s="22">
        <v>0</v>
      </c>
      <c r="AA6" s="35"/>
      <c r="AB6" s="35"/>
      <c r="AC6" s="35"/>
      <c r="AD6" s="23">
        <v>0</v>
      </c>
      <c r="AE6" s="23">
        <v>0</v>
      </c>
      <c r="AF6" s="120"/>
      <c r="AG6" s="23">
        <v>0</v>
      </c>
      <c r="AH6" s="120"/>
      <c r="AI6" s="35">
        <v>5300</v>
      </c>
      <c r="AJ6" s="23">
        <v>0</v>
      </c>
      <c r="AK6" s="23">
        <v>0</v>
      </c>
      <c r="AL6" s="23">
        <v>0</v>
      </c>
      <c r="AM6" s="120"/>
      <c r="AN6" s="120"/>
      <c r="AO6" s="21"/>
      <c r="AP6" s="35"/>
      <c r="AQ6" s="35"/>
      <c r="AR6" s="23">
        <v>0</v>
      </c>
      <c r="AS6" s="35"/>
      <c r="AT6" s="35"/>
      <c r="AU6" s="23">
        <v>0</v>
      </c>
      <c r="AV6" s="21">
        <v>0</v>
      </c>
      <c r="AW6" s="35"/>
      <c r="AX6" s="35"/>
      <c r="AY6" s="23">
        <v>0</v>
      </c>
      <c r="AZ6" s="23">
        <v>0</v>
      </c>
      <c r="BA6" s="23">
        <v>0</v>
      </c>
      <c r="BB6" s="120"/>
      <c r="BC6" s="35">
        <v>0</v>
      </c>
      <c r="BD6" s="46">
        <v>80000</v>
      </c>
      <c r="BE6" s="47">
        <v>45929</v>
      </c>
      <c r="BF6" s="47">
        <v>45938</v>
      </c>
      <c r="BG6" s="43">
        <v>0.46875</v>
      </c>
      <c r="BH6" s="49" t="s">
        <v>115</v>
      </c>
      <c r="BI6" s="50"/>
      <c r="BJ6" s="51">
        <v>12.578654770444841</v>
      </c>
      <c r="BK6" s="51">
        <v>7.0386624103844913</v>
      </c>
      <c r="BL6" s="51">
        <v>5.7710560686860788</v>
      </c>
      <c r="BM6" s="51">
        <v>5.4165597730075419</v>
      </c>
      <c r="BN6" s="51">
        <v>0.60468654292726687</v>
      </c>
      <c r="BO6" s="51">
        <v>0.57265527799654359</v>
      </c>
      <c r="BP6" s="52">
        <v>6808.8332680709736</v>
      </c>
      <c r="BQ6" s="52">
        <v>6404.0855675169842</v>
      </c>
      <c r="BR6" s="52">
        <v>6118.9373663272172</v>
      </c>
      <c r="BS6" s="113">
        <v>1.59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39">
        <v>-0.1723035345887183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20">
        <v>2000</v>
      </c>
      <c r="CH6" s="32">
        <v>0</v>
      </c>
      <c r="CI6" s="32">
        <v>0</v>
      </c>
      <c r="CJ6" s="32">
        <v>0</v>
      </c>
      <c r="CK6" s="32">
        <v>0</v>
      </c>
    </row>
    <row r="7" spans="1:89">
      <c r="A7" s="232">
        <v>4</v>
      </c>
      <c r="B7" s="33">
        <v>0</v>
      </c>
      <c r="C7" s="115">
        <v>45931</v>
      </c>
      <c r="D7" s="116" t="s">
        <v>148</v>
      </c>
      <c r="E7" s="15" t="s">
        <v>98</v>
      </c>
      <c r="F7" s="85" t="s">
        <v>156</v>
      </c>
      <c r="G7" s="85" t="s">
        <v>195</v>
      </c>
      <c r="H7" s="60" t="s">
        <v>264</v>
      </c>
      <c r="I7" s="85" t="s">
        <v>102</v>
      </c>
      <c r="J7" s="59">
        <v>45930</v>
      </c>
      <c r="K7" s="59">
        <v>45937.090272361107</v>
      </c>
      <c r="L7" s="59">
        <v>45938.131939027779</v>
      </c>
      <c r="M7" s="35">
        <v>15000</v>
      </c>
      <c r="N7" s="35"/>
      <c r="O7" s="35"/>
      <c r="P7" s="35"/>
      <c r="Q7" s="35"/>
      <c r="R7" s="35">
        <v>7500</v>
      </c>
      <c r="S7" s="35"/>
      <c r="T7" s="35"/>
      <c r="U7" s="35">
        <v>45000</v>
      </c>
      <c r="V7" s="120"/>
      <c r="W7" s="120"/>
      <c r="X7" s="120"/>
      <c r="Y7" s="35">
        <v>7500</v>
      </c>
      <c r="Z7" s="22">
        <v>0</v>
      </c>
      <c r="AA7" s="35"/>
      <c r="AB7" s="35"/>
      <c r="AC7" s="35"/>
      <c r="AD7" s="23">
        <v>0</v>
      </c>
      <c r="AE7" s="23">
        <v>0</v>
      </c>
      <c r="AF7" s="120"/>
      <c r="AG7" s="23">
        <v>0</v>
      </c>
      <c r="AH7" s="120"/>
      <c r="AI7" s="35"/>
      <c r="AJ7" s="23">
        <v>0</v>
      </c>
      <c r="AK7" s="23">
        <v>0</v>
      </c>
      <c r="AL7" s="23">
        <v>0</v>
      </c>
      <c r="AM7" s="120"/>
      <c r="AN7" s="120"/>
      <c r="AO7" s="21"/>
      <c r="AP7" s="35"/>
      <c r="AQ7" s="35"/>
      <c r="AR7" s="23">
        <v>0</v>
      </c>
      <c r="AS7" s="35"/>
      <c r="AT7" s="35"/>
      <c r="AU7" s="23">
        <v>0</v>
      </c>
      <c r="AV7" s="21">
        <v>0</v>
      </c>
      <c r="AW7" s="35"/>
      <c r="AX7" s="35"/>
      <c r="AY7" s="23">
        <v>0</v>
      </c>
      <c r="AZ7" s="23">
        <v>0</v>
      </c>
      <c r="BA7" s="23">
        <v>0</v>
      </c>
      <c r="BB7" s="120"/>
      <c r="BC7" s="35">
        <v>0</v>
      </c>
      <c r="BD7" s="46">
        <v>50000</v>
      </c>
      <c r="BE7" s="47">
        <v>45930</v>
      </c>
      <c r="BF7" s="47">
        <v>45939</v>
      </c>
      <c r="BG7" s="43">
        <v>0.75</v>
      </c>
      <c r="BH7" s="49" t="s">
        <v>115</v>
      </c>
      <c r="BI7" s="50"/>
      <c r="BJ7" s="51">
        <v>11.97277087222805</v>
      </c>
      <c r="BK7" s="51">
        <v>7.3543852295007301</v>
      </c>
      <c r="BL7" s="51">
        <v>5.7578929755055928</v>
      </c>
      <c r="BM7" s="51">
        <v>5.4683361178620098</v>
      </c>
      <c r="BN7" s="51">
        <v>1.196753069361429</v>
      </c>
      <c r="BO7" s="51">
        <v>1.136810967480075</v>
      </c>
      <c r="BP7" s="52">
        <v>6776.9430018121884</v>
      </c>
      <c r="BQ7" s="52">
        <v>6439.2650152560709</v>
      </c>
      <c r="BR7" s="52">
        <v>6137.6492338083153</v>
      </c>
      <c r="BS7" s="113">
        <v>1.34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26">
        <v>-0.32892141383606938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20">
        <v>2000</v>
      </c>
      <c r="CH7" s="31">
        <v>0</v>
      </c>
      <c r="CI7" s="31">
        <v>0</v>
      </c>
      <c r="CJ7" s="31">
        <v>0</v>
      </c>
      <c r="CK7" s="31">
        <v>0</v>
      </c>
    </row>
    <row r="8" spans="1:89">
      <c r="A8" s="233">
        <v>5</v>
      </c>
      <c r="B8" s="33">
        <v>0</v>
      </c>
      <c r="C8" s="117">
        <v>45931</v>
      </c>
      <c r="D8" s="118" t="s">
        <v>97</v>
      </c>
      <c r="E8" s="15" t="s">
        <v>98</v>
      </c>
      <c r="F8" s="85" t="s">
        <v>141</v>
      </c>
      <c r="G8" s="85" t="s">
        <v>117</v>
      </c>
      <c r="H8" s="60" t="s">
        <v>265</v>
      </c>
      <c r="I8" s="85" t="s">
        <v>102</v>
      </c>
      <c r="J8" s="53">
        <v>45934</v>
      </c>
      <c r="K8" s="53">
        <v>45938.277771944442</v>
      </c>
      <c r="L8" s="53">
        <v>45939.736105277778</v>
      </c>
      <c r="M8" s="35">
        <v>10000</v>
      </c>
      <c r="N8" s="35">
        <v>7000</v>
      </c>
      <c r="O8" s="35"/>
      <c r="P8" s="35"/>
      <c r="Q8" s="35">
        <v>38000</v>
      </c>
      <c r="R8" s="35"/>
      <c r="S8" s="35"/>
      <c r="T8" s="35"/>
      <c r="U8" s="35"/>
      <c r="V8" s="120"/>
      <c r="W8" s="120"/>
      <c r="X8" s="120"/>
      <c r="Y8" s="35"/>
      <c r="Z8" s="22">
        <v>0</v>
      </c>
      <c r="AA8" s="35"/>
      <c r="AB8" s="35"/>
      <c r="AC8" s="35"/>
      <c r="AD8" s="23">
        <v>0</v>
      </c>
      <c r="AE8" s="23">
        <v>0</v>
      </c>
      <c r="AF8" s="120"/>
      <c r="AG8" s="23">
        <v>0</v>
      </c>
      <c r="AH8" s="120"/>
      <c r="AI8" s="35"/>
      <c r="AJ8" s="23">
        <v>0</v>
      </c>
      <c r="AK8" s="23">
        <v>0</v>
      </c>
      <c r="AL8" s="23">
        <v>0</v>
      </c>
      <c r="AM8" s="120"/>
      <c r="AN8" s="120"/>
      <c r="AO8" s="21"/>
      <c r="AP8" s="35"/>
      <c r="AQ8" s="35"/>
      <c r="AR8" s="23">
        <v>0</v>
      </c>
      <c r="AS8" s="35"/>
      <c r="AT8" s="35"/>
      <c r="AU8" s="23">
        <v>0</v>
      </c>
      <c r="AV8" s="21">
        <v>0</v>
      </c>
      <c r="AW8" s="35"/>
      <c r="AX8" s="35"/>
      <c r="AY8" s="23">
        <v>0</v>
      </c>
      <c r="AZ8" s="23">
        <v>0</v>
      </c>
      <c r="BA8" s="23">
        <v>0</v>
      </c>
      <c r="BB8" s="120"/>
      <c r="BC8" s="35">
        <v>0</v>
      </c>
      <c r="BD8" s="46">
        <v>70000</v>
      </c>
      <c r="BE8" s="47">
        <v>45934</v>
      </c>
      <c r="BF8" s="47">
        <v>45943</v>
      </c>
      <c r="BG8" s="43">
        <v>0.60285714285714287</v>
      </c>
      <c r="BH8" s="49" t="s">
        <v>115</v>
      </c>
      <c r="BI8" s="50"/>
      <c r="BJ8" s="51">
        <v>20.793291816233371</v>
      </c>
      <c r="BK8" s="51">
        <v>12.25537204940353</v>
      </c>
      <c r="BL8" s="51">
        <v>6.5713908250800586</v>
      </c>
      <c r="BM8" s="51">
        <v>5.8372755549578716</v>
      </c>
      <c r="BN8" s="51">
        <v>1.4857837097684581</v>
      </c>
      <c r="BO8" s="51">
        <v>1.398311470586401</v>
      </c>
      <c r="BP8" s="52">
        <v>5986.8611787213613</v>
      </c>
      <c r="BQ8" s="52">
        <v>5437.0677035543531</v>
      </c>
      <c r="BR8" s="52">
        <v>5120.6594558958868</v>
      </c>
      <c r="BS8" s="113">
        <v>0.35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26">
        <v>-5.3074655232591222E-2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20">
        <v>1999.999999995767</v>
      </c>
      <c r="CH8" s="32">
        <v>0</v>
      </c>
      <c r="CI8" s="32">
        <v>0</v>
      </c>
      <c r="CJ8" s="32">
        <v>0</v>
      </c>
      <c r="CK8" s="32">
        <v>0</v>
      </c>
    </row>
    <row r="9" spans="1:89">
      <c r="A9" s="233">
        <v>6</v>
      </c>
      <c r="B9" s="33">
        <v>0</v>
      </c>
      <c r="C9" s="117">
        <v>45931</v>
      </c>
      <c r="D9" s="118" t="s">
        <v>97</v>
      </c>
      <c r="E9" s="15" t="s">
        <v>98</v>
      </c>
      <c r="F9" s="85" t="s">
        <v>141</v>
      </c>
      <c r="G9" s="85" t="s">
        <v>128</v>
      </c>
      <c r="H9" s="60" t="s">
        <v>266</v>
      </c>
      <c r="I9" s="85" t="s">
        <v>102</v>
      </c>
      <c r="J9" s="53">
        <v>45936</v>
      </c>
      <c r="K9" s="53">
        <v>45939.881938194441</v>
      </c>
      <c r="L9" s="53">
        <v>45941.826382638887</v>
      </c>
      <c r="M9" s="35"/>
      <c r="N9" s="35"/>
      <c r="O9" s="35"/>
      <c r="P9" s="35"/>
      <c r="Q9" s="35">
        <v>7500</v>
      </c>
      <c r="R9" s="35">
        <v>7500</v>
      </c>
      <c r="S9" s="35"/>
      <c r="T9" s="35"/>
      <c r="U9" s="35">
        <v>26000</v>
      </c>
      <c r="V9" s="120">
        <v>15000</v>
      </c>
      <c r="W9" s="120"/>
      <c r="X9" s="120">
        <v>7500</v>
      </c>
      <c r="Y9" s="35"/>
      <c r="Z9" s="22">
        <v>0</v>
      </c>
      <c r="AA9" s="35"/>
      <c r="AB9" s="35"/>
      <c r="AC9" s="35"/>
      <c r="AD9" s="23">
        <v>0</v>
      </c>
      <c r="AE9" s="23">
        <v>0</v>
      </c>
      <c r="AF9" s="120"/>
      <c r="AG9" s="23">
        <v>0</v>
      </c>
      <c r="AH9" s="120"/>
      <c r="AI9" s="35"/>
      <c r="AJ9" s="23">
        <v>0</v>
      </c>
      <c r="AK9" s="23">
        <v>0</v>
      </c>
      <c r="AL9" s="23">
        <v>0</v>
      </c>
      <c r="AM9" s="120"/>
      <c r="AN9" s="120"/>
      <c r="AO9" s="21"/>
      <c r="AP9" s="35"/>
      <c r="AQ9" s="35"/>
      <c r="AR9" s="23">
        <v>0</v>
      </c>
      <c r="AS9" s="35"/>
      <c r="AT9" s="35"/>
      <c r="AU9" s="23">
        <v>0</v>
      </c>
      <c r="AV9" s="21">
        <v>0</v>
      </c>
      <c r="AW9" s="35">
        <v>4000</v>
      </c>
      <c r="AX9" s="35">
        <v>7500</v>
      </c>
      <c r="AY9" s="23">
        <v>0</v>
      </c>
      <c r="AZ9" s="23">
        <v>0</v>
      </c>
      <c r="BA9" s="23">
        <v>0</v>
      </c>
      <c r="BB9" s="120"/>
      <c r="BC9" s="35">
        <v>0</v>
      </c>
      <c r="BD9" s="46">
        <v>70000</v>
      </c>
      <c r="BE9" s="47">
        <v>45936</v>
      </c>
      <c r="BF9" s="47">
        <v>45945</v>
      </c>
      <c r="BG9" s="57">
        <v>0.5714285714285714</v>
      </c>
      <c r="BH9" s="49" t="s">
        <v>115</v>
      </c>
      <c r="BI9" s="50"/>
      <c r="BJ9" s="51">
        <v>24.9340270624689</v>
      </c>
      <c r="BK9" s="51">
        <v>13.658070019208299</v>
      </c>
      <c r="BL9" s="51">
        <v>8.4490627725447727</v>
      </c>
      <c r="BM9" s="51">
        <v>7.4329442357948157</v>
      </c>
      <c r="BN9" s="51">
        <v>1.588208492460371</v>
      </c>
      <c r="BO9" s="51">
        <v>1.4850533889593169</v>
      </c>
      <c r="BP9" s="52">
        <v>5673.4845040694927</v>
      </c>
      <c r="BQ9" s="52">
        <v>4958.6515955084305</v>
      </c>
      <c r="BR9" s="52">
        <v>4628.2850265708294</v>
      </c>
      <c r="BS9" s="113">
        <v>-2.12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26">
        <v>-0.31058808050409431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20">
        <v>1800.000000001676</v>
      </c>
      <c r="CH9" s="31">
        <v>0</v>
      </c>
      <c r="CI9" s="31">
        <v>0</v>
      </c>
      <c r="CJ9" s="31">
        <v>0</v>
      </c>
      <c r="CK9" s="31">
        <v>0</v>
      </c>
    </row>
    <row r="10" spans="1:89">
      <c r="A10" s="232">
        <v>7</v>
      </c>
      <c r="B10" s="33">
        <v>0</v>
      </c>
      <c r="C10" s="117">
        <v>45931</v>
      </c>
      <c r="D10" s="118" t="s">
        <v>97</v>
      </c>
      <c r="E10" s="15" t="s">
        <v>98</v>
      </c>
      <c r="F10" s="85" t="s">
        <v>141</v>
      </c>
      <c r="G10" s="85" t="s">
        <v>175</v>
      </c>
      <c r="H10" s="60" t="s">
        <v>267</v>
      </c>
      <c r="I10" s="85" t="s">
        <v>102</v>
      </c>
      <c r="J10" s="53">
        <v>45937</v>
      </c>
      <c r="K10" s="53">
        <v>45941.972215555557</v>
      </c>
      <c r="L10" s="53">
        <v>45943.388882222222</v>
      </c>
      <c r="M10" s="35"/>
      <c r="N10" s="35"/>
      <c r="O10" s="35"/>
      <c r="P10" s="35"/>
      <c r="Q10" s="35"/>
      <c r="R10" s="35"/>
      <c r="S10" s="35"/>
      <c r="T10" s="35"/>
      <c r="U10" s="35"/>
      <c r="V10" s="120"/>
      <c r="W10" s="120"/>
      <c r="X10" s="120"/>
      <c r="Y10" s="35"/>
      <c r="Z10" s="22"/>
      <c r="AA10" s="35"/>
      <c r="AB10" s="35"/>
      <c r="AC10" s="35"/>
      <c r="AD10" s="23"/>
      <c r="AE10" s="23"/>
      <c r="AF10" s="120"/>
      <c r="AG10" s="23"/>
      <c r="AH10" s="120"/>
      <c r="AI10" s="35"/>
      <c r="AJ10" s="23"/>
      <c r="AK10" s="23"/>
      <c r="AL10" s="23"/>
      <c r="AM10" s="120"/>
      <c r="AN10" s="120"/>
      <c r="AO10" s="21"/>
      <c r="AP10" s="35"/>
      <c r="AQ10" s="35"/>
      <c r="AR10" s="23"/>
      <c r="AS10" s="35"/>
      <c r="AT10" s="35"/>
      <c r="AU10" s="23"/>
      <c r="AV10" s="21"/>
      <c r="AW10" s="35"/>
      <c r="AX10" s="35"/>
      <c r="AY10" s="23"/>
      <c r="AZ10" s="23"/>
      <c r="BA10" s="23"/>
      <c r="BB10" s="120"/>
      <c r="BC10" s="35"/>
      <c r="BD10" s="46">
        <v>68000</v>
      </c>
      <c r="BE10" s="47">
        <v>45937</v>
      </c>
      <c r="BF10" s="47">
        <v>45946</v>
      </c>
      <c r="BG10" s="43">
        <v>0.73382352941176465</v>
      </c>
      <c r="BH10" s="49" t="s">
        <v>115</v>
      </c>
      <c r="BI10" s="50"/>
      <c r="BJ10" s="51">
        <v>22.308869090924251</v>
      </c>
      <c r="BK10" s="51">
        <v>11.53200585772001</v>
      </c>
      <c r="BL10" s="51">
        <v>7.3098236491312738</v>
      </c>
      <c r="BM10" s="51">
        <v>6.4678082556384124</v>
      </c>
      <c r="BN10" s="51">
        <v>1.9575734889432479</v>
      </c>
      <c r="BO10" s="51">
        <v>1.82904850474198</v>
      </c>
      <c r="BP10" s="52">
        <v>5989.3081693737231</v>
      </c>
      <c r="BQ10" s="52">
        <v>5286.3138927870486</v>
      </c>
      <c r="BR10" s="52">
        <v>4962.6486358115726</v>
      </c>
      <c r="BS10" s="113"/>
      <c r="BT10" s="16"/>
      <c r="BU10" s="16"/>
      <c r="BV10" s="16"/>
      <c r="BW10" s="16"/>
      <c r="BX10" s="16"/>
      <c r="BY10" s="16"/>
      <c r="BZ10" s="26"/>
      <c r="CA10" s="16"/>
      <c r="CB10" s="16"/>
      <c r="CC10" s="16"/>
      <c r="CD10" s="16"/>
      <c r="CE10" s="16"/>
      <c r="CF10" s="16"/>
      <c r="CG10" s="20"/>
      <c r="CH10" s="32"/>
      <c r="CI10" s="32"/>
      <c r="CJ10" s="32"/>
      <c r="CK10" s="32"/>
    </row>
    <row r="11" spans="1:89">
      <c r="A11" s="233">
        <v>8</v>
      </c>
      <c r="B11" s="33">
        <v>0</v>
      </c>
      <c r="C11" s="117">
        <v>45931</v>
      </c>
      <c r="D11" s="118" t="s">
        <v>97</v>
      </c>
      <c r="E11" s="15" t="s">
        <v>98</v>
      </c>
      <c r="F11" s="85" t="s">
        <v>141</v>
      </c>
      <c r="G11" s="85" t="s">
        <v>110</v>
      </c>
      <c r="H11" s="60" t="s">
        <v>268</v>
      </c>
      <c r="I11" s="85" t="s">
        <v>102</v>
      </c>
      <c r="J11" s="53">
        <v>45939</v>
      </c>
      <c r="K11" s="53">
        <v>45943.534715138892</v>
      </c>
      <c r="L11" s="53">
        <v>45945.097215138892</v>
      </c>
      <c r="M11" s="35"/>
      <c r="N11" s="35"/>
      <c r="O11" s="35"/>
      <c r="P11" s="35"/>
      <c r="Q11" s="35"/>
      <c r="R11" s="35"/>
      <c r="S11" s="35"/>
      <c r="T11" s="35"/>
      <c r="U11" s="35"/>
      <c r="V11" s="120"/>
      <c r="W11" s="120"/>
      <c r="X11" s="120"/>
      <c r="Y11" s="35"/>
      <c r="Z11" s="22"/>
      <c r="AA11" s="35"/>
      <c r="AB11" s="35"/>
      <c r="AC11" s="35"/>
      <c r="AD11" s="23"/>
      <c r="AE11" s="23"/>
      <c r="AF11" s="120"/>
      <c r="AG11" s="23"/>
      <c r="AH11" s="120"/>
      <c r="AI11" s="35"/>
      <c r="AJ11" s="23"/>
      <c r="AK11" s="23"/>
      <c r="AL11" s="23"/>
      <c r="AM11" s="120"/>
      <c r="AN11" s="120"/>
      <c r="AO11" s="21"/>
      <c r="AP11" s="35"/>
      <c r="AQ11" s="35"/>
      <c r="AR11" s="23"/>
      <c r="AS11" s="35"/>
      <c r="AT11" s="35"/>
      <c r="AU11" s="23"/>
      <c r="AV11" s="21"/>
      <c r="AW11" s="35"/>
      <c r="AX11" s="35"/>
      <c r="AY11" s="23"/>
      <c r="AZ11" s="23"/>
      <c r="BA11" s="23"/>
      <c r="BB11" s="120"/>
      <c r="BC11" s="35"/>
      <c r="BD11" s="46">
        <v>75000</v>
      </c>
      <c r="BE11" s="47">
        <v>45939</v>
      </c>
      <c r="BF11" s="47">
        <v>45948</v>
      </c>
      <c r="BG11" s="43">
        <v>0.7</v>
      </c>
      <c r="BH11" s="49" t="s">
        <v>115</v>
      </c>
      <c r="BI11" s="50"/>
      <c r="BJ11" s="51">
        <v>19.409980903169579</v>
      </c>
      <c r="BK11" s="51">
        <v>12.216488848956351</v>
      </c>
      <c r="BL11" s="51">
        <v>6.7771297809275213</v>
      </c>
      <c r="BM11" s="51">
        <v>6.1412628658775557</v>
      </c>
      <c r="BN11" s="51">
        <v>1.954795358139473</v>
      </c>
      <c r="BO11" s="51">
        <v>1.8420000336469149</v>
      </c>
      <c r="BP11" s="52">
        <v>5984.0113065932437</v>
      </c>
      <c r="BQ11" s="52">
        <v>5515.2059993291377</v>
      </c>
      <c r="BR11" s="52">
        <v>5201.8981077339822</v>
      </c>
      <c r="BS11" s="113"/>
      <c r="BT11" s="16"/>
      <c r="BU11" s="16"/>
      <c r="BV11" s="16"/>
      <c r="BW11" s="16"/>
      <c r="BX11" s="16"/>
      <c r="BY11" s="16"/>
      <c r="BZ11" s="26"/>
      <c r="CA11" s="16"/>
      <c r="CB11" s="16"/>
      <c r="CC11" s="16"/>
      <c r="CD11" s="16"/>
      <c r="CE11" s="16"/>
      <c r="CF11" s="16"/>
      <c r="CG11" s="20"/>
      <c r="CH11" s="31"/>
      <c r="CI11" s="31"/>
      <c r="CJ11" s="31"/>
      <c r="CK11" s="31"/>
    </row>
    <row r="12" spans="1:89">
      <c r="A12" s="233">
        <v>9</v>
      </c>
      <c r="B12" s="33">
        <v>0</v>
      </c>
      <c r="C12" s="115">
        <v>45931</v>
      </c>
      <c r="D12" s="116" t="s">
        <v>133</v>
      </c>
      <c r="E12" s="15" t="s">
        <v>98</v>
      </c>
      <c r="F12" s="85" t="s">
        <v>141</v>
      </c>
      <c r="G12" s="85" t="s">
        <v>269</v>
      </c>
      <c r="H12" s="60" t="s">
        <v>270</v>
      </c>
      <c r="I12" s="85" t="s">
        <v>102</v>
      </c>
      <c r="J12" s="53">
        <v>45940</v>
      </c>
      <c r="K12" s="53">
        <v>45945.243048055563</v>
      </c>
      <c r="L12" s="53">
        <v>45946.65971472222</v>
      </c>
      <c r="M12" s="35"/>
      <c r="N12" s="35"/>
      <c r="O12" s="35"/>
      <c r="P12" s="35"/>
      <c r="Q12" s="35"/>
      <c r="R12" s="35"/>
      <c r="S12" s="35"/>
      <c r="T12" s="35"/>
      <c r="U12" s="35"/>
      <c r="V12" s="120"/>
      <c r="W12" s="120"/>
      <c r="X12" s="120"/>
      <c r="Y12" s="35"/>
      <c r="Z12" s="22"/>
      <c r="AA12" s="35"/>
      <c r="AB12" s="35"/>
      <c r="AC12" s="35"/>
      <c r="AD12" s="23"/>
      <c r="AE12" s="23"/>
      <c r="AF12" s="120"/>
      <c r="AG12" s="23"/>
      <c r="AH12" s="120"/>
      <c r="AI12" s="35"/>
      <c r="AJ12" s="23"/>
      <c r="AK12" s="23"/>
      <c r="AL12" s="23"/>
      <c r="AM12" s="120"/>
      <c r="AN12" s="120"/>
      <c r="AO12" s="21"/>
      <c r="AP12" s="35"/>
      <c r="AQ12" s="35"/>
      <c r="AR12" s="23"/>
      <c r="AS12" s="35"/>
      <c r="AT12" s="35"/>
      <c r="AU12" s="23"/>
      <c r="AV12" s="21"/>
      <c r="AW12" s="35"/>
      <c r="AX12" s="35"/>
      <c r="AY12" s="23"/>
      <c r="AZ12" s="23"/>
      <c r="BA12" s="23"/>
      <c r="BB12" s="120"/>
      <c r="BC12" s="35"/>
      <c r="BD12" s="46">
        <v>68000</v>
      </c>
      <c r="BE12" s="47">
        <v>45940</v>
      </c>
      <c r="BF12" s="47">
        <v>45949</v>
      </c>
      <c r="BG12" s="43">
        <v>0.70735294117647063</v>
      </c>
      <c r="BH12" s="49" t="s">
        <v>115</v>
      </c>
      <c r="BI12" s="50"/>
      <c r="BJ12" s="51">
        <v>20.621885123909632</v>
      </c>
      <c r="BK12" s="51">
        <v>11.391692672688309</v>
      </c>
      <c r="BL12" s="51">
        <v>5.7022200514487107</v>
      </c>
      <c r="BM12" s="51">
        <v>5.0608940125688866</v>
      </c>
      <c r="BN12" s="51">
        <v>1.3462532188645551</v>
      </c>
      <c r="BO12" s="51">
        <v>1.263631864322603</v>
      </c>
      <c r="BP12" s="52">
        <v>6136.0180936019606</v>
      </c>
      <c r="BQ12" s="52">
        <v>5532.0645652495996</v>
      </c>
      <c r="BR12" s="52">
        <v>5209.0336902291574</v>
      </c>
      <c r="BS12" s="113"/>
      <c r="BT12" s="16"/>
      <c r="BU12" s="16"/>
      <c r="BV12" s="16"/>
      <c r="BW12" s="16"/>
      <c r="BX12" s="16"/>
      <c r="BY12" s="16"/>
      <c r="BZ12" s="26"/>
      <c r="CA12" s="16"/>
      <c r="CB12" s="16"/>
      <c r="CC12" s="16"/>
      <c r="CD12" s="16"/>
      <c r="CE12" s="16"/>
      <c r="CF12" s="16"/>
      <c r="CG12" s="20"/>
      <c r="CH12" s="32"/>
      <c r="CI12" s="32"/>
      <c r="CJ12" s="32"/>
      <c r="CK12" s="32"/>
    </row>
    <row r="13" spans="1:89">
      <c r="A13" s="232">
        <v>10</v>
      </c>
      <c r="B13" s="33">
        <v>0</v>
      </c>
      <c r="C13" s="115">
        <v>45931</v>
      </c>
      <c r="D13" s="118" t="s">
        <v>97</v>
      </c>
      <c r="E13" s="15" t="s">
        <v>98</v>
      </c>
      <c r="F13" s="84" t="s">
        <v>141</v>
      </c>
      <c r="G13" s="84" t="s">
        <v>145</v>
      </c>
      <c r="H13" s="60" t="s">
        <v>271</v>
      </c>
      <c r="I13" s="84" t="s">
        <v>102</v>
      </c>
      <c r="J13" s="53">
        <v>45943</v>
      </c>
      <c r="K13" s="53">
        <v>45946.805547638891</v>
      </c>
      <c r="L13" s="53">
        <v>45948.263880972219</v>
      </c>
      <c r="M13" s="35"/>
      <c r="N13" s="35"/>
      <c r="O13" s="35"/>
      <c r="P13" s="35"/>
      <c r="Q13" s="35"/>
      <c r="R13" s="35"/>
      <c r="S13" s="35"/>
      <c r="T13" s="35"/>
      <c r="U13" s="35"/>
      <c r="V13" s="120"/>
      <c r="W13" s="120"/>
      <c r="X13" s="120"/>
      <c r="Y13" s="35"/>
      <c r="Z13" s="22"/>
      <c r="AA13" s="35"/>
      <c r="AB13" s="35"/>
      <c r="AC13" s="35"/>
      <c r="AD13" s="23"/>
      <c r="AE13" s="23"/>
      <c r="AF13" s="120"/>
      <c r="AG13" s="23"/>
      <c r="AH13" s="120"/>
      <c r="AI13" s="35"/>
      <c r="AJ13" s="23"/>
      <c r="AK13" s="23"/>
      <c r="AL13" s="23"/>
      <c r="AM13" s="120"/>
      <c r="AN13" s="120"/>
      <c r="AO13" s="21"/>
      <c r="AP13" s="35"/>
      <c r="AQ13" s="35"/>
      <c r="AR13" s="23"/>
      <c r="AS13" s="35"/>
      <c r="AT13" s="35"/>
      <c r="AU13" s="23"/>
      <c r="AV13" s="21"/>
      <c r="AW13" s="35"/>
      <c r="AX13" s="35"/>
      <c r="AY13" s="23"/>
      <c r="AZ13" s="23"/>
      <c r="BA13" s="23"/>
      <c r="BB13" s="120"/>
      <c r="BC13" s="35"/>
      <c r="BD13" s="46">
        <v>70000</v>
      </c>
      <c r="BE13" s="47">
        <v>45943</v>
      </c>
      <c r="BF13" s="47">
        <v>45952</v>
      </c>
      <c r="BG13" s="43">
        <v>0.5714285714285714</v>
      </c>
      <c r="BH13" s="49" t="s">
        <v>115</v>
      </c>
      <c r="BI13" s="50"/>
      <c r="BJ13" s="51">
        <v>19.29879398408508</v>
      </c>
      <c r="BK13" s="51">
        <v>11.982391995593639</v>
      </c>
      <c r="BL13" s="51">
        <v>6.53804817587723</v>
      </c>
      <c r="BM13" s="51">
        <v>5.900255948920055</v>
      </c>
      <c r="BN13" s="51">
        <v>1.8229683245189841</v>
      </c>
      <c r="BO13" s="51">
        <v>1.71820291046513</v>
      </c>
      <c r="BP13" s="52">
        <v>6032.7303614297152</v>
      </c>
      <c r="BQ13" s="52">
        <v>5555.5503442931767</v>
      </c>
      <c r="BR13" s="52">
        <v>5240.86257240133</v>
      </c>
      <c r="BS13" s="113"/>
      <c r="BT13" s="16"/>
      <c r="BU13" s="16"/>
      <c r="BV13" s="16"/>
      <c r="BW13" s="16"/>
      <c r="BX13" s="16"/>
      <c r="BY13" s="16"/>
      <c r="BZ13" s="26"/>
      <c r="CA13" s="16"/>
      <c r="CB13" s="16"/>
      <c r="CC13" s="16"/>
      <c r="CD13" s="16"/>
      <c r="CE13" s="16"/>
      <c r="CF13" s="16"/>
      <c r="CG13" s="20"/>
      <c r="CH13" s="31"/>
      <c r="CI13" s="31"/>
      <c r="CJ13" s="31"/>
      <c r="CK13" s="31"/>
    </row>
    <row r="14" spans="1:89">
      <c r="A14" s="233">
        <v>11</v>
      </c>
      <c r="B14" s="33">
        <v>0</v>
      </c>
      <c r="C14" s="115">
        <v>45931</v>
      </c>
      <c r="D14" s="118" t="s">
        <v>97</v>
      </c>
      <c r="E14" s="15" t="s">
        <v>98</v>
      </c>
      <c r="F14" s="85" t="s">
        <v>141</v>
      </c>
      <c r="G14" s="85" t="s">
        <v>128</v>
      </c>
      <c r="H14" s="60" t="s">
        <v>272</v>
      </c>
      <c r="I14" s="85" t="s">
        <v>102</v>
      </c>
      <c r="J14" s="53">
        <v>45945</v>
      </c>
      <c r="K14" s="53">
        <v>45948.430546805554</v>
      </c>
      <c r="L14" s="53">
        <v>45950.374991249999</v>
      </c>
      <c r="M14" s="35"/>
      <c r="N14" s="35"/>
      <c r="O14" s="35"/>
      <c r="P14" s="35"/>
      <c r="Q14" s="35"/>
      <c r="R14" s="35"/>
      <c r="S14" s="35"/>
      <c r="T14" s="35"/>
      <c r="U14" s="35"/>
      <c r="V14" s="120"/>
      <c r="W14" s="120"/>
      <c r="X14" s="120"/>
      <c r="Y14" s="35"/>
      <c r="Z14" s="22"/>
      <c r="AA14" s="35"/>
      <c r="AB14" s="35"/>
      <c r="AC14" s="35"/>
      <c r="AD14" s="23"/>
      <c r="AE14" s="23"/>
      <c r="AF14" s="120"/>
      <c r="AG14" s="23"/>
      <c r="AH14" s="120"/>
      <c r="AI14" s="35"/>
      <c r="AJ14" s="23"/>
      <c r="AK14" s="23"/>
      <c r="AL14" s="23"/>
      <c r="AM14" s="120"/>
      <c r="AN14" s="120"/>
      <c r="AO14" s="21"/>
      <c r="AP14" s="35"/>
      <c r="AQ14" s="35"/>
      <c r="AR14" s="23"/>
      <c r="AS14" s="35"/>
      <c r="AT14" s="35"/>
      <c r="AU14" s="23"/>
      <c r="AV14" s="21"/>
      <c r="AW14" s="35"/>
      <c r="AX14" s="35"/>
      <c r="AY14" s="23"/>
      <c r="AZ14" s="23"/>
      <c r="BA14" s="23"/>
      <c r="BB14" s="120"/>
      <c r="BC14" s="35"/>
      <c r="BD14" s="46">
        <v>70000</v>
      </c>
      <c r="BE14" s="47">
        <v>45945</v>
      </c>
      <c r="BF14" s="47">
        <v>45954</v>
      </c>
      <c r="BG14" s="48">
        <v>0.5714285714285714</v>
      </c>
      <c r="BH14" s="49" t="s">
        <v>115</v>
      </c>
      <c r="BI14" s="50"/>
      <c r="BJ14" s="51">
        <v>23.628696422720392</v>
      </c>
      <c r="BK14" s="51">
        <v>14.23346182700706</v>
      </c>
      <c r="BL14" s="51">
        <v>8.712483525699815</v>
      </c>
      <c r="BM14" s="51">
        <v>7.7738996694229083</v>
      </c>
      <c r="BN14" s="51">
        <v>1.5869967104346501</v>
      </c>
      <c r="BO14" s="51">
        <v>1.4876780798830589</v>
      </c>
      <c r="BP14" s="52">
        <v>5604.4825612074637</v>
      </c>
      <c r="BQ14" s="52">
        <v>5014.9157350124806</v>
      </c>
      <c r="BR14" s="52">
        <v>4690.9810392448662</v>
      </c>
      <c r="BS14" s="113"/>
      <c r="BT14" s="16"/>
      <c r="BU14" s="16"/>
      <c r="BV14" s="16"/>
      <c r="BW14" s="16"/>
      <c r="BX14" s="16"/>
      <c r="BY14" s="16"/>
      <c r="BZ14" s="26"/>
      <c r="CA14" s="16"/>
      <c r="CB14" s="16"/>
      <c r="CC14" s="16"/>
      <c r="CD14" s="16"/>
      <c r="CE14" s="16"/>
      <c r="CF14" s="16"/>
      <c r="CG14" s="20"/>
      <c r="CH14" s="32"/>
      <c r="CI14" s="32"/>
      <c r="CJ14" s="32"/>
      <c r="CK14" s="32"/>
    </row>
    <row r="15" spans="1:89">
      <c r="A15" s="233">
        <v>12</v>
      </c>
      <c r="B15" s="33">
        <v>0</v>
      </c>
      <c r="C15" s="117">
        <v>45931</v>
      </c>
      <c r="D15" s="118" t="s">
        <v>97</v>
      </c>
      <c r="E15" s="15" t="s">
        <v>98</v>
      </c>
      <c r="F15" s="85" t="s">
        <v>141</v>
      </c>
      <c r="G15" s="85" t="s">
        <v>273</v>
      </c>
      <c r="H15" s="60" t="s">
        <v>274</v>
      </c>
      <c r="I15" s="85" t="s">
        <v>102</v>
      </c>
      <c r="J15" s="53">
        <v>45947</v>
      </c>
      <c r="K15" s="53">
        <v>45950.52082416667</v>
      </c>
      <c r="L15" s="53">
        <v>45951.666657499998</v>
      </c>
      <c r="M15" s="35"/>
      <c r="N15" s="35"/>
      <c r="O15" s="35"/>
      <c r="P15" s="35"/>
      <c r="Q15" s="35"/>
      <c r="R15" s="35"/>
      <c r="S15" s="35"/>
      <c r="T15" s="35"/>
      <c r="U15" s="35"/>
      <c r="V15" s="120"/>
      <c r="W15" s="120"/>
      <c r="X15" s="120"/>
      <c r="Y15" s="35"/>
      <c r="Z15" s="22"/>
      <c r="AA15" s="35"/>
      <c r="AB15" s="35"/>
      <c r="AC15" s="35"/>
      <c r="AD15" s="23"/>
      <c r="AE15" s="23"/>
      <c r="AF15" s="120"/>
      <c r="AG15" s="23"/>
      <c r="AH15" s="120"/>
      <c r="AI15" s="35"/>
      <c r="AJ15" s="23"/>
      <c r="AK15" s="23"/>
      <c r="AL15" s="23"/>
      <c r="AM15" s="120"/>
      <c r="AN15" s="120"/>
      <c r="AO15" s="21"/>
      <c r="AP15" s="35"/>
      <c r="AQ15" s="35"/>
      <c r="AR15" s="23"/>
      <c r="AS15" s="35"/>
      <c r="AT15" s="35"/>
      <c r="AU15" s="23"/>
      <c r="AV15" s="21"/>
      <c r="AW15" s="35"/>
      <c r="AX15" s="35"/>
      <c r="AY15" s="23"/>
      <c r="AZ15" s="23"/>
      <c r="BA15" s="23"/>
      <c r="BB15" s="120"/>
      <c r="BC15" s="35"/>
      <c r="BD15" s="46">
        <v>55000</v>
      </c>
      <c r="BE15" s="47">
        <v>45947</v>
      </c>
      <c r="BF15" s="47">
        <v>45956</v>
      </c>
      <c r="BG15" s="57">
        <v>1</v>
      </c>
      <c r="BH15" s="49" t="s">
        <v>115</v>
      </c>
      <c r="BI15" s="50"/>
      <c r="BJ15" s="51">
        <v>15.475943865230899</v>
      </c>
      <c r="BK15" s="51">
        <v>10.475943865230899</v>
      </c>
      <c r="BL15" s="51">
        <v>5.7881195120423579</v>
      </c>
      <c r="BM15" s="51">
        <v>5.4648477702365046</v>
      </c>
      <c r="BN15" s="51">
        <v>2.48401794915483</v>
      </c>
      <c r="BO15" s="51">
        <v>2.3452832862941899</v>
      </c>
      <c r="BP15" s="52">
        <v>6255.56028558457</v>
      </c>
      <c r="BQ15" s="52">
        <v>5906.1815512158173</v>
      </c>
      <c r="BR15" s="52">
        <v>5603.8170211933639</v>
      </c>
      <c r="BS15" s="113"/>
      <c r="BT15" s="16"/>
      <c r="BU15" s="16"/>
      <c r="BV15" s="16"/>
      <c r="BW15" s="16"/>
      <c r="BX15" s="16"/>
      <c r="BY15" s="16"/>
      <c r="BZ15" s="26"/>
      <c r="CA15" s="16"/>
      <c r="CB15" s="16"/>
      <c r="CC15" s="16"/>
      <c r="CD15" s="16"/>
      <c r="CE15" s="16"/>
      <c r="CF15" s="16"/>
      <c r="CG15" s="20"/>
      <c r="CH15" s="31"/>
      <c r="CI15" s="31"/>
      <c r="CJ15" s="31"/>
      <c r="CK15" s="31"/>
    </row>
    <row r="16" spans="1:89">
      <c r="A16" s="232">
        <v>13</v>
      </c>
      <c r="B16" s="33">
        <v>0</v>
      </c>
      <c r="C16" s="117">
        <v>45931</v>
      </c>
      <c r="D16" s="118" t="s">
        <v>148</v>
      </c>
      <c r="E16" s="15" t="s">
        <v>98</v>
      </c>
      <c r="F16" s="85" t="s">
        <v>141</v>
      </c>
      <c r="G16" s="85" t="s">
        <v>135</v>
      </c>
      <c r="H16" s="60" t="s">
        <v>275</v>
      </c>
      <c r="I16" s="85" t="s">
        <v>102</v>
      </c>
      <c r="J16" s="53">
        <v>45948</v>
      </c>
      <c r="K16" s="53">
        <v>45951.812490416669</v>
      </c>
      <c r="L16" s="53">
        <v>45952.708323749997</v>
      </c>
      <c r="M16" s="35"/>
      <c r="N16" s="35"/>
      <c r="O16" s="35"/>
      <c r="P16" s="35"/>
      <c r="Q16" s="35">
        <v>5000</v>
      </c>
      <c r="R16" s="35">
        <v>25000</v>
      </c>
      <c r="S16" s="35">
        <v>20000</v>
      </c>
      <c r="T16" s="35"/>
      <c r="U16" s="35"/>
      <c r="V16" s="120"/>
      <c r="W16" s="120"/>
      <c r="X16" s="120"/>
      <c r="Y16" s="35"/>
      <c r="Z16" s="22">
        <v>0</v>
      </c>
      <c r="AA16" s="35"/>
      <c r="AB16" s="35"/>
      <c r="AC16" s="35"/>
      <c r="AD16" s="23">
        <v>0</v>
      </c>
      <c r="AE16" s="23">
        <v>0</v>
      </c>
      <c r="AF16" s="120"/>
      <c r="AG16" s="24">
        <v>0</v>
      </c>
      <c r="AH16" s="120"/>
      <c r="AI16" s="35"/>
      <c r="AJ16" s="23">
        <v>0</v>
      </c>
      <c r="AK16" s="23">
        <v>0</v>
      </c>
      <c r="AL16" s="23">
        <v>0</v>
      </c>
      <c r="AM16" s="120"/>
      <c r="AN16" s="120"/>
      <c r="AO16" s="21"/>
      <c r="AP16" s="35"/>
      <c r="AQ16" s="35"/>
      <c r="AR16" s="23">
        <v>0</v>
      </c>
      <c r="AS16" s="35"/>
      <c r="AT16" s="35"/>
      <c r="AU16" s="23">
        <v>0</v>
      </c>
      <c r="AV16" s="21">
        <v>0</v>
      </c>
      <c r="AW16" s="35"/>
      <c r="AX16" s="35"/>
      <c r="AY16" s="23">
        <v>0</v>
      </c>
      <c r="AZ16" s="23">
        <v>0</v>
      </c>
      <c r="BA16" s="23">
        <v>0</v>
      </c>
      <c r="BB16" s="120"/>
      <c r="BC16" s="35">
        <v>0</v>
      </c>
      <c r="BD16" s="46">
        <v>43000</v>
      </c>
      <c r="BE16" s="47">
        <v>45948</v>
      </c>
      <c r="BF16" s="47">
        <v>45957</v>
      </c>
      <c r="BG16" s="48">
        <v>0.69767441860465118</v>
      </c>
      <c r="BH16" s="49" t="s">
        <v>115</v>
      </c>
      <c r="BI16" s="50"/>
      <c r="BJ16" s="51">
        <v>15.37318394265297</v>
      </c>
      <c r="BK16" s="51">
        <v>8.9315102828444211</v>
      </c>
      <c r="BL16" s="51">
        <v>4.9163948416577314</v>
      </c>
      <c r="BM16" s="51">
        <v>4.5169445193539257</v>
      </c>
      <c r="BN16" s="51">
        <v>0.86811391406838534</v>
      </c>
      <c r="BO16" s="51">
        <v>0.80879885583497646</v>
      </c>
      <c r="BP16" s="52">
        <v>6612.1793695352098</v>
      </c>
      <c r="BQ16" s="52">
        <v>6161.7204369681094</v>
      </c>
      <c r="BR16" s="52">
        <v>5851.6734078863119</v>
      </c>
      <c r="BS16" s="113">
        <v>1.93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26">
        <v>-1.815882120763999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20">
        <v>2000.0000000046571</v>
      </c>
      <c r="CH16" s="32">
        <v>0</v>
      </c>
      <c r="CI16" s="32">
        <v>0</v>
      </c>
      <c r="CJ16" s="32">
        <v>0</v>
      </c>
      <c r="CK16" s="32">
        <v>0</v>
      </c>
    </row>
    <row r="17" spans="1:89">
      <c r="A17" s="233">
        <v>14</v>
      </c>
      <c r="B17" s="33">
        <v>0</v>
      </c>
      <c r="C17" s="117">
        <v>45931</v>
      </c>
      <c r="D17" s="118" t="s">
        <v>97</v>
      </c>
      <c r="E17" s="15" t="s">
        <v>98</v>
      </c>
      <c r="F17" s="85" t="s">
        <v>141</v>
      </c>
      <c r="G17" s="85" t="s">
        <v>110</v>
      </c>
      <c r="H17" s="60" t="s">
        <v>276</v>
      </c>
      <c r="I17" s="85" t="s">
        <v>102</v>
      </c>
      <c r="J17" s="53">
        <v>45949</v>
      </c>
      <c r="K17" s="53">
        <v>45952.854156666668</v>
      </c>
      <c r="L17" s="53">
        <v>45954.416656666668</v>
      </c>
      <c r="M17" s="35"/>
      <c r="N17" s="35">
        <v>7000</v>
      </c>
      <c r="O17" s="35"/>
      <c r="P17" s="35"/>
      <c r="Q17" s="35">
        <v>45500</v>
      </c>
      <c r="R17" s="35"/>
      <c r="S17" s="35"/>
      <c r="T17" s="35"/>
      <c r="U17" s="35">
        <v>7500</v>
      </c>
      <c r="V17" s="120"/>
      <c r="W17" s="120"/>
      <c r="X17" s="120"/>
      <c r="Y17" s="35"/>
      <c r="Z17" s="22">
        <v>0</v>
      </c>
      <c r="AA17" s="35"/>
      <c r="AB17" s="35"/>
      <c r="AC17" s="35"/>
      <c r="AD17" s="23">
        <v>0</v>
      </c>
      <c r="AE17" s="23">
        <v>0</v>
      </c>
      <c r="AF17" s="120"/>
      <c r="AG17" s="23">
        <v>0</v>
      </c>
      <c r="AH17" s="120"/>
      <c r="AI17" s="35"/>
      <c r="AJ17" s="23">
        <v>0</v>
      </c>
      <c r="AK17" s="23">
        <v>0</v>
      </c>
      <c r="AL17" s="23">
        <v>0</v>
      </c>
      <c r="AM17" s="120">
        <v>7500</v>
      </c>
      <c r="AN17" s="120"/>
      <c r="AO17" s="21"/>
      <c r="AP17" s="35"/>
      <c r="AQ17" s="35"/>
      <c r="AR17" s="23">
        <v>0</v>
      </c>
      <c r="AS17" s="35"/>
      <c r="AT17" s="35"/>
      <c r="AU17" s="23">
        <v>0</v>
      </c>
      <c r="AV17" s="21">
        <v>0</v>
      </c>
      <c r="AW17" s="35"/>
      <c r="AX17" s="35">
        <v>7500</v>
      </c>
      <c r="AY17" s="23">
        <v>0</v>
      </c>
      <c r="AZ17" s="23">
        <v>0</v>
      </c>
      <c r="BA17" s="23">
        <v>0</v>
      </c>
      <c r="BB17" s="120"/>
      <c r="BC17" s="35">
        <v>0</v>
      </c>
      <c r="BD17" s="46">
        <v>75000</v>
      </c>
      <c r="BE17" s="47">
        <v>45949</v>
      </c>
      <c r="BF17" s="47">
        <v>45958</v>
      </c>
      <c r="BG17" s="43">
        <v>0.6</v>
      </c>
      <c r="BH17" s="49" t="s">
        <v>115</v>
      </c>
      <c r="BI17" s="50"/>
      <c r="BJ17" s="51">
        <v>20.933125572835021</v>
      </c>
      <c r="BK17" s="51">
        <v>12.153109063549319</v>
      </c>
      <c r="BL17" s="51">
        <v>7.2156837340646689</v>
      </c>
      <c r="BM17" s="51">
        <v>6.4277001602928241</v>
      </c>
      <c r="BN17" s="51">
        <v>1.3999292973808859</v>
      </c>
      <c r="BO17" s="51">
        <v>1.3106612835414639</v>
      </c>
      <c r="BP17" s="52">
        <v>5952.6553214886944</v>
      </c>
      <c r="BQ17" s="52">
        <v>5390.1364294882214</v>
      </c>
      <c r="BR17" s="52">
        <v>5073.7147376415614</v>
      </c>
      <c r="BS17" s="113">
        <v>-0.87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26">
        <v>-0.84361614036024546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20">
        <v>2000</v>
      </c>
      <c r="CH17" s="31">
        <v>0</v>
      </c>
      <c r="CI17" s="31">
        <v>0</v>
      </c>
      <c r="CJ17" s="31">
        <v>0</v>
      </c>
      <c r="CK17" s="31">
        <v>0</v>
      </c>
    </row>
    <row r="18" spans="1:89">
      <c r="A18" s="233">
        <v>15</v>
      </c>
      <c r="B18" s="33">
        <v>0</v>
      </c>
      <c r="C18" s="117">
        <v>45931</v>
      </c>
      <c r="D18" s="118" t="s">
        <v>97</v>
      </c>
      <c r="E18" s="15" t="s">
        <v>98</v>
      </c>
      <c r="F18" s="85" t="s">
        <v>141</v>
      </c>
      <c r="G18" s="85" t="s">
        <v>277</v>
      </c>
      <c r="H18" s="60" t="s">
        <v>278</v>
      </c>
      <c r="I18" s="85" t="s">
        <v>102</v>
      </c>
      <c r="J18" s="53">
        <v>45951</v>
      </c>
      <c r="K18" s="53">
        <v>45954.583322500002</v>
      </c>
      <c r="L18" s="53">
        <v>45955.729155833331</v>
      </c>
      <c r="M18" s="35"/>
      <c r="N18" s="35"/>
      <c r="O18" s="35"/>
      <c r="P18" s="35">
        <v>4500</v>
      </c>
      <c r="Q18" s="35">
        <v>35450</v>
      </c>
      <c r="R18" s="35"/>
      <c r="S18" s="35"/>
      <c r="T18" s="35"/>
      <c r="U18" s="35">
        <v>15000</v>
      </c>
      <c r="V18" s="120"/>
      <c r="W18" s="120"/>
      <c r="X18" s="120">
        <v>6750</v>
      </c>
      <c r="Y18" s="35"/>
      <c r="Z18" s="22">
        <v>0</v>
      </c>
      <c r="AA18" s="35"/>
      <c r="AB18" s="35"/>
      <c r="AC18" s="35"/>
      <c r="AD18" s="23">
        <v>0</v>
      </c>
      <c r="AE18" s="23">
        <v>0</v>
      </c>
      <c r="AF18" s="120"/>
      <c r="AG18" s="23">
        <v>0</v>
      </c>
      <c r="AH18" s="120">
        <v>5300</v>
      </c>
      <c r="AI18" s="35"/>
      <c r="AJ18" s="23">
        <v>0</v>
      </c>
      <c r="AK18" s="23">
        <v>0</v>
      </c>
      <c r="AL18" s="23">
        <v>0</v>
      </c>
      <c r="AM18" s="120"/>
      <c r="AN18" s="120"/>
      <c r="AO18" s="21"/>
      <c r="AP18" s="35"/>
      <c r="AQ18" s="35"/>
      <c r="AR18" s="23">
        <v>0</v>
      </c>
      <c r="AS18" s="35"/>
      <c r="AT18" s="35"/>
      <c r="AU18" s="23">
        <v>0</v>
      </c>
      <c r="AV18" s="21">
        <v>0</v>
      </c>
      <c r="AW18" s="35"/>
      <c r="AX18" s="35"/>
      <c r="AY18" s="23">
        <v>0</v>
      </c>
      <c r="AZ18" s="23">
        <v>0</v>
      </c>
      <c r="BA18" s="23">
        <v>0</v>
      </c>
      <c r="BB18" s="120"/>
      <c r="BC18" s="35">
        <v>0</v>
      </c>
      <c r="BD18" s="46">
        <v>55000</v>
      </c>
      <c r="BE18" s="47">
        <v>45951</v>
      </c>
      <c r="BF18" s="47">
        <v>45960</v>
      </c>
      <c r="BG18" s="57">
        <v>0.59090909090909094</v>
      </c>
      <c r="BH18" s="49" t="s">
        <v>115</v>
      </c>
      <c r="BI18" s="50" t="s">
        <v>279</v>
      </c>
      <c r="BJ18" s="51">
        <v>16.469378173156901</v>
      </c>
      <c r="BK18" s="51">
        <v>10.03025800818537</v>
      </c>
      <c r="BL18" s="51">
        <v>9.1644599661447153</v>
      </c>
      <c r="BM18" s="51">
        <v>8.4909382798501074</v>
      </c>
      <c r="BN18" s="51">
        <v>2.0556742571453142</v>
      </c>
      <c r="BO18" s="51">
        <v>1.9415415005321031</v>
      </c>
      <c r="BP18" s="52">
        <v>6163.4007828324884</v>
      </c>
      <c r="BQ18" s="52">
        <v>5737.9426065471735</v>
      </c>
      <c r="BR18" s="52">
        <v>5430.4464043420048</v>
      </c>
      <c r="BS18" s="113">
        <v>0.21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26">
        <v>-1.3081322353654881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20">
        <v>1999.999999996525</v>
      </c>
      <c r="CH18" s="32">
        <v>0</v>
      </c>
      <c r="CI18" s="32">
        <v>0</v>
      </c>
      <c r="CJ18" s="32">
        <v>0</v>
      </c>
      <c r="CK18" s="32">
        <v>0</v>
      </c>
    </row>
    <row r="19" spans="1:89">
      <c r="A19" s="232">
        <v>16</v>
      </c>
      <c r="B19" s="33">
        <v>0</v>
      </c>
      <c r="C19" s="117">
        <v>45931</v>
      </c>
      <c r="D19" s="118" t="s">
        <v>97</v>
      </c>
      <c r="E19" s="15" t="s">
        <v>98</v>
      </c>
      <c r="F19" s="85" t="s">
        <v>141</v>
      </c>
      <c r="G19" s="85" t="s">
        <v>122</v>
      </c>
      <c r="H19" s="60" t="s">
        <v>280</v>
      </c>
      <c r="I19" s="85" t="s">
        <v>102</v>
      </c>
      <c r="J19" s="53">
        <v>45952</v>
      </c>
      <c r="K19" s="53">
        <v>45955.874988750002</v>
      </c>
      <c r="L19" s="53">
        <v>45956.499988750002</v>
      </c>
      <c r="M19" s="35"/>
      <c r="N19" s="35"/>
      <c r="O19" s="35"/>
      <c r="P19" s="35"/>
      <c r="Q19" s="35">
        <v>40000</v>
      </c>
      <c r="R19" s="35"/>
      <c r="S19" s="35"/>
      <c r="T19" s="35"/>
      <c r="U19" s="35"/>
      <c r="V19" s="120"/>
      <c r="W19" s="120"/>
      <c r="X19" s="120"/>
      <c r="Y19" s="35"/>
      <c r="Z19" s="22">
        <v>0</v>
      </c>
      <c r="AA19" s="35"/>
      <c r="AB19" s="35">
        <v>7500</v>
      </c>
      <c r="AC19" s="35"/>
      <c r="AD19" s="23">
        <v>0</v>
      </c>
      <c r="AE19" s="23">
        <v>0</v>
      </c>
      <c r="AF19" s="120"/>
      <c r="AG19" s="23">
        <v>0</v>
      </c>
      <c r="AH19" s="120"/>
      <c r="AI19" s="35"/>
      <c r="AJ19" s="23">
        <v>0</v>
      </c>
      <c r="AK19" s="23">
        <v>0</v>
      </c>
      <c r="AL19" s="23">
        <v>0</v>
      </c>
      <c r="AM19" s="120">
        <v>7500</v>
      </c>
      <c r="AN19" s="120"/>
      <c r="AO19" s="21"/>
      <c r="AP19" s="35"/>
      <c r="AQ19" s="35"/>
      <c r="AR19" s="23">
        <v>0</v>
      </c>
      <c r="AS19" s="35"/>
      <c r="AT19" s="35"/>
      <c r="AU19" s="23">
        <v>0</v>
      </c>
      <c r="AV19" s="21">
        <v>0</v>
      </c>
      <c r="AW19" s="35"/>
      <c r="AX19" s="35"/>
      <c r="AY19" s="23">
        <v>0</v>
      </c>
      <c r="AZ19" s="23">
        <v>0</v>
      </c>
      <c r="BA19" s="23">
        <v>0</v>
      </c>
      <c r="BB19" s="120"/>
      <c r="BC19" s="35">
        <v>0</v>
      </c>
      <c r="BD19" s="46">
        <v>30000</v>
      </c>
      <c r="BE19" s="61">
        <v>45952</v>
      </c>
      <c r="BF19" s="61">
        <v>45961</v>
      </c>
      <c r="BG19" s="48">
        <v>0.58333333333333337</v>
      </c>
      <c r="BH19" s="49" t="s">
        <v>115</v>
      </c>
      <c r="BI19" s="50"/>
      <c r="BJ19" s="51">
        <v>19.63867421699883</v>
      </c>
      <c r="BK19" s="51">
        <v>10.176374510334959</v>
      </c>
      <c r="BL19" s="51">
        <v>5.6872435429336496</v>
      </c>
      <c r="BM19" s="51">
        <v>5.1289248744550457</v>
      </c>
      <c r="BN19" s="51">
        <v>1.750000124818115</v>
      </c>
      <c r="BO19" s="51">
        <v>1.6461420386785079</v>
      </c>
      <c r="BP19" s="52">
        <v>6276.3394090688053</v>
      </c>
      <c r="BQ19" s="52">
        <v>5643.8938711349119</v>
      </c>
      <c r="BR19" s="52">
        <v>5326.4517164844847</v>
      </c>
      <c r="BS19" s="114">
        <v>0.35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26">
        <v>-0.80535863223545245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20">
        <v>1999.999999995767</v>
      </c>
      <c r="CH19" s="31">
        <v>0</v>
      </c>
      <c r="CI19" s="31">
        <v>0</v>
      </c>
      <c r="CJ19" s="31">
        <v>0</v>
      </c>
      <c r="CK19" s="31">
        <v>0</v>
      </c>
    </row>
    <row r="20" spans="1:89">
      <c r="A20" s="233">
        <v>17</v>
      </c>
      <c r="B20" s="33">
        <v>0</v>
      </c>
      <c r="C20" s="117">
        <v>45931</v>
      </c>
      <c r="D20" s="118" t="s">
        <v>97</v>
      </c>
      <c r="E20" s="15" t="s">
        <v>98</v>
      </c>
      <c r="F20" s="85" t="s">
        <v>141</v>
      </c>
      <c r="G20" s="85" t="s">
        <v>165</v>
      </c>
      <c r="H20" s="60" t="s">
        <v>281</v>
      </c>
      <c r="I20" s="85" t="s">
        <v>102</v>
      </c>
      <c r="J20" s="53">
        <v>45955</v>
      </c>
      <c r="K20" s="53">
        <v>45957.645821759259</v>
      </c>
      <c r="L20" s="53">
        <v>45959.208321759259</v>
      </c>
      <c r="M20" s="35"/>
      <c r="N20" s="35">
        <v>7500</v>
      </c>
      <c r="O20" s="35"/>
      <c r="P20" s="35"/>
      <c r="Q20" s="35">
        <v>7500</v>
      </c>
      <c r="R20" s="35"/>
      <c r="S20" s="35"/>
      <c r="T20" s="35"/>
      <c r="U20" s="35">
        <v>40000</v>
      </c>
      <c r="V20" s="120"/>
      <c r="W20" s="120"/>
      <c r="X20" s="120">
        <v>7500</v>
      </c>
      <c r="Y20" s="35"/>
      <c r="Z20" s="22">
        <v>0</v>
      </c>
      <c r="AA20" s="35"/>
      <c r="AB20" s="35"/>
      <c r="AC20" s="35">
        <v>7500</v>
      </c>
      <c r="AD20" s="23">
        <v>0</v>
      </c>
      <c r="AE20" s="23">
        <v>0</v>
      </c>
      <c r="AF20" s="120"/>
      <c r="AG20" s="23">
        <v>0</v>
      </c>
      <c r="AH20" s="120"/>
      <c r="AI20" s="35"/>
      <c r="AJ20" s="23">
        <v>0</v>
      </c>
      <c r="AK20" s="23">
        <v>0</v>
      </c>
      <c r="AL20" s="23">
        <v>0</v>
      </c>
      <c r="AM20" s="120"/>
      <c r="AN20" s="120"/>
      <c r="AO20" s="21"/>
      <c r="AP20" s="35"/>
      <c r="AQ20" s="35"/>
      <c r="AR20" s="23">
        <v>0</v>
      </c>
      <c r="AS20" s="35">
        <v>5000</v>
      </c>
      <c r="AT20" s="35"/>
      <c r="AU20" s="23">
        <v>0</v>
      </c>
      <c r="AV20" s="21">
        <v>0</v>
      </c>
      <c r="AW20" s="35"/>
      <c r="AX20" s="35"/>
      <c r="AY20" s="23">
        <v>0</v>
      </c>
      <c r="AZ20" s="23">
        <v>0</v>
      </c>
      <c r="BA20" s="23">
        <v>0</v>
      </c>
      <c r="BB20" s="120"/>
      <c r="BC20" s="35">
        <v>0</v>
      </c>
      <c r="BD20" s="46">
        <v>75000</v>
      </c>
      <c r="BE20" s="61">
        <v>45955</v>
      </c>
      <c r="BF20" s="61">
        <v>45964</v>
      </c>
      <c r="BG20" s="48">
        <v>0.6</v>
      </c>
      <c r="BH20" s="49" t="s">
        <v>115</v>
      </c>
      <c r="BI20" s="50"/>
      <c r="BJ20" s="51">
        <v>14.438653997805179</v>
      </c>
      <c r="BK20" s="51">
        <v>9.0105510965196984</v>
      </c>
      <c r="BL20" s="51">
        <v>5.9626188556040542</v>
      </c>
      <c r="BM20" s="51">
        <v>5.5898528108516832</v>
      </c>
      <c r="BN20" s="51">
        <v>1.3120000841904511</v>
      </c>
      <c r="BO20" s="51">
        <v>1.2331217130953669</v>
      </c>
      <c r="BP20" s="52">
        <v>6475.8286163184084</v>
      </c>
      <c r="BQ20" s="52">
        <v>6096.1224191715173</v>
      </c>
      <c r="BR20" s="52">
        <v>5791.368923664324</v>
      </c>
      <c r="BS20" s="113">
        <v>0.44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26">
        <v>-0.26226599689786112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20">
        <v>1800.000000001676</v>
      </c>
      <c r="CH20" s="32">
        <v>0</v>
      </c>
      <c r="CI20" s="32">
        <v>0</v>
      </c>
      <c r="CJ20" s="32">
        <v>0</v>
      </c>
      <c r="CK20" s="32">
        <v>0</v>
      </c>
    </row>
    <row r="21" spans="1:89">
      <c r="A21" s="233">
        <v>18</v>
      </c>
      <c r="B21" s="33">
        <v>0</v>
      </c>
      <c r="C21" s="117">
        <v>45931</v>
      </c>
      <c r="D21" s="118" t="s">
        <v>97</v>
      </c>
      <c r="E21" s="15" t="s">
        <v>98</v>
      </c>
      <c r="F21" s="85" t="s">
        <v>141</v>
      </c>
      <c r="G21" s="85" t="s">
        <v>261</v>
      </c>
      <c r="H21" s="60" t="s">
        <v>282</v>
      </c>
      <c r="I21" s="85" t="s">
        <v>102</v>
      </c>
      <c r="J21" s="53">
        <v>45956</v>
      </c>
      <c r="K21" s="53">
        <v>45959.354155092587</v>
      </c>
      <c r="L21" s="53">
        <v>45960.395821759259</v>
      </c>
      <c r="M21" s="35"/>
      <c r="N21" s="35"/>
      <c r="O21" s="35"/>
      <c r="P21" s="35"/>
      <c r="Q21" s="35">
        <v>37500</v>
      </c>
      <c r="R21" s="35"/>
      <c r="S21" s="35"/>
      <c r="T21" s="35"/>
      <c r="U21" s="35"/>
      <c r="V21" s="120"/>
      <c r="W21" s="120"/>
      <c r="X21" s="120"/>
      <c r="Y21" s="35"/>
      <c r="Z21" s="22">
        <v>0</v>
      </c>
      <c r="AA21" s="35"/>
      <c r="AB21" s="35"/>
      <c r="AC21" s="35">
        <v>7500</v>
      </c>
      <c r="AD21" s="23">
        <v>0</v>
      </c>
      <c r="AE21" s="23">
        <v>0</v>
      </c>
      <c r="AF21" s="120"/>
      <c r="AG21" s="23">
        <v>0</v>
      </c>
      <c r="AH21" s="120"/>
      <c r="AI21" s="35"/>
      <c r="AJ21" s="23">
        <v>0</v>
      </c>
      <c r="AK21" s="23">
        <v>0</v>
      </c>
      <c r="AL21" s="23">
        <v>0</v>
      </c>
      <c r="AM21" s="120"/>
      <c r="AN21" s="120"/>
      <c r="AO21" s="21"/>
      <c r="AP21" s="35">
        <v>5000</v>
      </c>
      <c r="AQ21" s="35"/>
      <c r="AR21" s="23">
        <v>0</v>
      </c>
      <c r="AS21" s="35">
        <v>5000</v>
      </c>
      <c r="AT21" s="35"/>
      <c r="AU21" s="23">
        <v>0</v>
      </c>
      <c r="AV21" s="21">
        <v>0</v>
      </c>
      <c r="AW21" s="35"/>
      <c r="AX21" s="35">
        <v>7500</v>
      </c>
      <c r="AY21" s="23">
        <v>0</v>
      </c>
      <c r="AZ21" s="23">
        <v>0</v>
      </c>
      <c r="BA21" s="23">
        <v>0</v>
      </c>
      <c r="BB21" s="120"/>
      <c r="BC21" s="35">
        <v>0</v>
      </c>
      <c r="BD21" s="46">
        <v>50000</v>
      </c>
      <c r="BE21" s="47">
        <v>45956</v>
      </c>
      <c r="BF21" s="47">
        <v>45965</v>
      </c>
      <c r="BG21" s="43">
        <v>0.85</v>
      </c>
      <c r="BH21" s="49" t="s">
        <v>115</v>
      </c>
      <c r="BI21" s="50"/>
      <c r="BJ21" s="51">
        <v>16.05564393642398</v>
      </c>
      <c r="BK21" s="51">
        <v>10.07380018642397</v>
      </c>
      <c r="BL21" s="51">
        <v>5.5248264733172237</v>
      </c>
      <c r="BM21" s="51">
        <v>5.1576036354213111</v>
      </c>
      <c r="BN21" s="51">
        <v>1.4513214928709841</v>
      </c>
      <c r="BO21" s="51">
        <v>1.3660706142121439</v>
      </c>
      <c r="BP21" s="52">
        <v>6312.4197601980086</v>
      </c>
      <c r="BQ21" s="52">
        <v>5895.2256217304284</v>
      </c>
      <c r="BR21" s="52">
        <v>5589.862764227807</v>
      </c>
      <c r="BS21" s="113">
        <v>0.53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26">
        <v>7.5084199449754252E-2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20">
        <v>1499.9999999993761</v>
      </c>
      <c r="CH21" s="31">
        <v>0</v>
      </c>
      <c r="CI21" s="31">
        <v>0</v>
      </c>
      <c r="CJ21" s="31">
        <v>0</v>
      </c>
      <c r="CK21" s="31">
        <v>0</v>
      </c>
    </row>
    <row r="22" spans="1:89">
      <c r="A22" s="232">
        <v>19</v>
      </c>
      <c r="B22" s="33">
        <v>0</v>
      </c>
      <c r="C22" s="117">
        <v>45931</v>
      </c>
      <c r="D22" s="118" t="s">
        <v>97</v>
      </c>
      <c r="E22" s="15" t="s">
        <v>179</v>
      </c>
      <c r="F22" s="85" t="s">
        <v>186</v>
      </c>
      <c r="G22" s="85" t="s">
        <v>181</v>
      </c>
      <c r="H22" s="60" t="s">
        <v>283</v>
      </c>
      <c r="I22" s="85" t="s">
        <v>102</v>
      </c>
      <c r="J22" s="59">
        <v>45945</v>
      </c>
      <c r="K22" s="59">
        <v>45948.28471388889</v>
      </c>
      <c r="L22" s="59">
        <v>45948.44096388889</v>
      </c>
      <c r="M22" s="35"/>
      <c r="N22" s="35"/>
      <c r="O22" s="35"/>
      <c r="P22" s="35"/>
      <c r="Q22" s="35"/>
      <c r="R22" s="35"/>
      <c r="S22" s="35"/>
      <c r="T22" s="35"/>
      <c r="U22" s="35"/>
      <c r="V22" s="120"/>
      <c r="W22" s="120"/>
      <c r="X22" s="120"/>
      <c r="Y22" s="35"/>
      <c r="Z22" s="22"/>
      <c r="AA22" s="35"/>
      <c r="AB22" s="35"/>
      <c r="AC22" s="35"/>
      <c r="AD22" s="23"/>
      <c r="AE22" s="23"/>
      <c r="AF22" s="120"/>
      <c r="AG22" s="23"/>
      <c r="AH22" s="120"/>
      <c r="AI22" s="35"/>
      <c r="AJ22" s="23"/>
      <c r="AK22" s="23"/>
      <c r="AL22" s="23"/>
      <c r="AM22" s="120"/>
      <c r="AN22" s="120"/>
      <c r="AO22" s="21"/>
      <c r="AP22" s="35"/>
      <c r="AQ22" s="35"/>
      <c r="AR22" s="23"/>
      <c r="AS22" s="35"/>
      <c r="AT22" s="35"/>
      <c r="AU22" s="23"/>
      <c r="AV22" s="21"/>
      <c r="AW22" s="35"/>
      <c r="AX22" s="35"/>
      <c r="AY22" s="23"/>
      <c r="AZ22" s="23"/>
      <c r="BA22" s="23"/>
      <c r="BB22" s="120"/>
      <c r="BC22" s="35"/>
      <c r="BD22" s="46">
        <v>7500</v>
      </c>
      <c r="BE22" s="47"/>
      <c r="BF22" s="47"/>
      <c r="BG22" s="43">
        <v>1</v>
      </c>
      <c r="BH22" s="49" t="s">
        <v>115</v>
      </c>
      <c r="BI22" s="50"/>
      <c r="BJ22" s="55">
        <v>15.42498077132003</v>
      </c>
      <c r="BK22" s="55">
        <v>10.42498077132003</v>
      </c>
      <c r="BL22" s="55">
        <v>5.7222266262411914</v>
      </c>
      <c r="BM22" s="55">
        <v>5.4028093339180483</v>
      </c>
      <c r="BN22" s="55">
        <v>2.277130655232837</v>
      </c>
      <c r="BO22" s="55">
        <v>2.150000440753546</v>
      </c>
      <c r="BP22" s="56">
        <v>6277.0149980227579</v>
      </c>
      <c r="BQ22" s="56">
        <v>5926.6394113952247</v>
      </c>
      <c r="BR22" s="56">
        <v>5624.7342824397892</v>
      </c>
      <c r="BS22" s="114"/>
      <c r="BT22" s="16"/>
      <c r="BU22" s="16"/>
      <c r="BV22" s="16"/>
      <c r="BW22" s="16"/>
      <c r="BX22" s="16"/>
      <c r="BY22" s="16"/>
      <c r="BZ22" s="39"/>
      <c r="CA22" s="16"/>
      <c r="CB22" s="16"/>
      <c r="CC22" s="16"/>
      <c r="CD22" s="16"/>
      <c r="CE22" s="16"/>
      <c r="CF22" s="16"/>
      <c r="CG22" s="20"/>
      <c r="CH22" s="32"/>
      <c r="CI22" s="32"/>
      <c r="CJ22" s="32"/>
      <c r="CK22" s="32"/>
    </row>
    <row r="23" spans="1:89">
      <c r="A23" s="233">
        <v>20</v>
      </c>
      <c r="B23" s="33">
        <v>0</v>
      </c>
      <c r="C23" s="117">
        <v>45931</v>
      </c>
      <c r="D23" s="118" t="s">
        <v>97</v>
      </c>
      <c r="E23" s="15" t="s">
        <v>179</v>
      </c>
      <c r="F23" s="85" t="s">
        <v>186</v>
      </c>
      <c r="G23" s="85" t="s">
        <v>181</v>
      </c>
      <c r="H23" s="60" t="s">
        <v>284</v>
      </c>
      <c r="I23" s="85" t="s">
        <v>102</v>
      </c>
      <c r="J23" s="59">
        <v>45950</v>
      </c>
      <c r="K23" s="59">
        <v>45954.437489583332</v>
      </c>
      <c r="L23" s="59">
        <v>45954.593739583332</v>
      </c>
      <c r="M23" s="35"/>
      <c r="N23" s="35"/>
      <c r="O23" s="35"/>
      <c r="P23" s="35"/>
      <c r="Q23" s="35"/>
      <c r="R23" s="35"/>
      <c r="S23" s="35"/>
      <c r="T23" s="35"/>
      <c r="U23" s="35"/>
      <c r="V23" s="120"/>
      <c r="W23" s="120"/>
      <c r="X23" s="120"/>
      <c r="Y23" s="35"/>
      <c r="Z23" s="22"/>
      <c r="AA23" s="35"/>
      <c r="AB23" s="35"/>
      <c r="AC23" s="35"/>
      <c r="AD23" s="23"/>
      <c r="AE23" s="23"/>
      <c r="AF23" s="120"/>
      <c r="AG23" s="23"/>
      <c r="AH23" s="120"/>
      <c r="AI23" s="35"/>
      <c r="AJ23" s="23"/>
      <c r="AK23" s="23"/>
      <c r="AL23" s="23"/>
      <c r="AM23" s="120"/>
      <c r="AN23" s="120"/>
      <c r="AO23" s="21"/>
      <c r="AP23" s="35"/>
      <c r="AQ23" s="35"/>
      <c r="AR23" s="23"/>
      <c r="AS23" s="35"/>
      <c r="AT23" s="35"/>
      <c r="AU23" s="23"/>
      <c r="AV23" s="21"/>
      <c r="AW23" s="35"/>
      <c r="AX23" s="35"/>
      <c r="AY23" s="23"/>
      <c r="AZ23" s="23"/>
      <c r="BA23" s="23"/>
      <c r="BB23" s="120"/>
      <c r="BC23" s="35"/>
      <c r="BD23" s="46">
        <v>7500</v>
      </c>
      <c r="BE23" s="47"/>
      <c r="BF23" s="47"/>
      <c r="BG23" s="48">
        <v>1</v>
      </c>
      <c r="BH23" s="49" t="s">
        <v>115</v>
      </c>
      <c r="BI23" s="50"/>
      <c r="BJ23" s="51">
        <v>15.42380246881676</v>
      </c>
      <c r="BK23" s="51">
        <v>10.423802468816749</v>
      </c>
      <c r="BL23" s="51">
        <v>5.7207031364698828</v>
      </c>
      <c r="BM23" s="51">
        <v>5.4013749617242972</v>
      </c>
      <c r="BN23" s="51">
        <v>2.2723472757788659</v>
      </c>
      <c r="BO23" s="51">
        <v>2.1454853642915559</v>
      </c>
      <c r="BP23" s="52">
        <v>6277.5110460338383</v>
      </c>
      <c r="BQ23" s="52">
        <v>5927.1124114823706</v>
      </c>
      <c r="BR23" s="52">
        <v>5625.2179042020671</v>
      </c>
      <c r="BS23" s="114"/>
      <c r="BT23" s="16"/>
      <c r="BU23" s="16"/>
      <c r="BV23" s="16"/>
      <c r="BW23" s="16"/>
      <c r="BX23" s="16"/>
      <c r="BY23" s="16"/>
      <c r="BZ23" s="26"/>
      <c r="CA23" s="16"/>
      <c r="CB23" s="16"/>
      <c r="CC23" s="16"/>
      <c r="CD23" s="16"/>
      <c r="CE23" s="16"/>
      <c r="CF23" s="16"/>
      <c r="CG23" s="20"/>
      <c r="CH23" s="31"/>
      <c r="CI23" s="31"/>
      <c r="CJ23" s="31"/>
      <c r="CK23" s="31"/>
    </row>
    <row r="24" spans="1:89">
      <c r="A24" s="233">
        <v>21</v>
      </c>
      <c r="B24" s="33">
        <v>0</v>
      </c>
      <c r="C24" s="117">
        <v>45931</v>
      </c>
      <c r="D24" s="118" t="s">
        <v>97</v>
      </c>
      <c r="E24" s="15" t="s">
        <v>179</v>
      </c>
      <c r="F24" s="85" t="s">
        <v>186</v>
      </c>
      <c r="G24" s="85" t="s">
        <v>187</v>
      </c>
      <c r="H24" s="60" t="s">
        <v>285</v>
      </c>
      <c r="I24" s="85" t="s">
        <v>102</v>
      </c>
      <c r="J24" s="59">
        <v>45955</v>
      </c>
      <c r="K24" s="59">
        <v>45959.416654166656</v>
      </c>
      <c r="L24" s="59">
        <v>45959.572904166656</v>
      </c>
      <c r="M24" s="35"/>
      <c r="N24" s="35"/>
      <c r="O24" s="35"/>
      <c r="P24" s="35"/>
      <c r="Q24" s="35"/>
      <c r="R24" s="35"/>
      <c r="S24" s="35"/>
      <c r="T24" s="35"/>
      <c r="U24" s="35"/>
      <c r="V24" s="120"/>
      <c r="W24" s="120"/>
      <c r="X24" s="120"/>
      <c r="Y24" s="35"/>
      <c r="Z24" s="22"/>
      <c r="AA24" s="35"/>
      <c r="AB24" s="35"/>
      <c r="AC24" s="35"/>
      <c r="AD24" s="23"/>
      <c r="AE24" s="23"/>
      <c r="AF24" s="120"/>
      <c r="AG24" s="23"/>
      <c r="AH24" s="120"/>
      <c r="AI24" s="35"/>
      <c r="AJ24" s="23"/>
      <c r="AK24" s="23"/>
      <c r="AL24" s="23"/>
      <c r="AM24" s="120"/>
      <c r="AN24" s="120"/>
      <c r="AO24" s="21"/>
      <c r="AP24" s="35"/>
      <c r="AQ24" s="35"/>
      <c r="AR24" s="23"/>
      <c r="AS24" s="35"/>
      <c r="AT24" s="35"/>
      <c r="AU24" s="23"/>
      <c r="AV24" s="21"/>
      <c r="AW24" s="35"/>
      <c r="AX24" s="35"/>
      <c r="AY24" s="23"/>
      <c r="AZ24" s="23"/>
      <c r="BA24" s="23"/>
      <c r="BB24" s="120"/>
      <c r="BC24" s="35"/>
      <c r="BD24" s="46">
        <v>7500</v>
      </c>
      <c r="BE24" s="47"/>
      <c r="BF24" s="47"/>
      <c r="BG24" s="43">
        <v>1</v>
      </c>
      <c r="BH24" s="49" t="s">
        <v>115</v>
      </c>
      <c r="BI24" s="50"/>
      <c r="BJ24" s="51">
        <v>15.45107775473679</v>
      </c>
      <c r="BK24" s="51">
        <v>10.45107775473679</v>
      </c>
      <c r="BL24" s="51">
        <v>5.7559687995684827</v>
      </c>
      <c r="BM24" s="51">
        <v>5.4345777357077054</v>
      </c>
      <c r="BN24" s="51">
        <v>2.3830726980778691</v>
      </c>
      <c r="BO24" s="51">
        <v>2.2500001226913229</v>
      </c>
      <c r="BP24" s="52">
        <v>6266.028552111723</v>
      </c>
      <c r="BQ24" s="52">
        <v>5916.1634297215423</v>
      </c>
      <c r="BR24" s="52">
        <v>5614.0230524499721</v>
      </c>
      <c r="BS24" s="114"/>
      <c r="BT24" s="16"/>
      <c r="BU24" s="16"/>
      <c r="BV24" s="16"/>
      <c r="BW24" s="16"/>
      <c r="BX24" s="16"/>
      <c r="BY24" s="16"/>
      <c r="BZ24" s="26"/>
      <c r="CA24" s="16"/>
      <c r="CB24" s="16"/>
      <c r="CC24" s="16"/>
      <c r="CD24" s="16"/>
      <c r="CE24" s="16"/>
      <c r="CF24" s="16"/>
      <c r="CG24" s="20"/>
      <c r="CH24" s="32"/>
      <c r="CI24" s="32"/>
      <c r="CJ24" s="32"/>
      <c r="CK24" s="32"/>
    </row>
    <row r="25" spans="1:89">
      <c r="A25" s="232">
        <v>22</v>
      </c>
      <c r="B25" s="33">
        <v>0</v>
      </c>
      <c r="C25" s="117">
        <v>45931</v>
      </c>
      <c r="D25" s="118" t="s">
        <v>97</v>
      </c>
      <c r="E25" s="15" t="s">
        <v>189</v>
      </c>
      <c r="F25" s="85" t="s">
        <v>190</v>
      </c>
      <c r="G25" s="85" t="s">
        <v>191</v>
      </c>
      <c r="H25" s="60" t="s">
        <v>286</v>
      </c>
      <c r="I25" s="85" t="s">
        <v>102</v>
      </c>
      <c r="J25" s="59">
        <v>45953</v>
      </c>
      <c r="K25" s="59">
        <v>45953</v>
      </c>
      <c r="L25" s="59">
        <v>45954.666666666657</v>
      </c>
      <c r="M25" s="35"/>
      <c r="N25" s="35"/>
      <c r="O25" s="35"/>
      <c r="P25" s="35"/>
      <c r="Q25" s="35"/>
      <c r="R25" s="35"/>
      <c r="S25" s="35"/>
      <c r="T25" s="35"/>
      <c r="U25" s="35"/>
      <c r="V25" s="120"/>
      <c r="W25" s="120"/>
      <c r="X25" s="120"/>
      <c r="Y25" s="35"/>
      <c r="Z25" s="22"/>
      <c r="AA25" s="35"/>
      <c r="AB25" s="35"/>
      <c r="AC25" s="35"/>
      <c r="AD25" s="23"/>
      <c r="AE25" s="23"/>
      <c r="AF25" s="120"/>
      <c r="AG25" s="23"/>
      <c r="AH25" s="120"/>
      <c r="AI25" s="35"/>
      <c r="AJ25" s="23"/>
      <c r="AK25" s="23"/>
      <c r="AL25" s="23"/>
      <c r="AM25" s="120"/>
      <c r="AN25" s="120"/>
      <c r="AO25" s="21"/>
      <c r="AP25" s="35"/>
      <c r="AQ25" s="35"/>
      <c r="AR25" s="23"/>
      <c r="AS25" s="35"/>
      <c r="AT25" s="35"/>
      <c r="AU25" s="23"/>
      <c r="AV25" s="21"/>
      <c r="AW25" s="35"/>
      <c r="AX25" s="35"/>
      <c r="AY25" s="23"/>
      <c r="AZ25" s="23"/>
      <c r="BA25" s="23"/>
      <c r="BB25" s="120"/>
      <c r="BC25" s="35"/>
      <c r="BD25" s="46">
        <v>2000</v>
      </c>
      <c r="BE25" s="47"/>
      <c r="BF25" s="47"/>
      <c r="BG25" s="43">
        <v>1</v>
      </c>
      <c r="BH25" s="49" t="s">
        <v>115</v>
      </c>
      <c r="BI25" s="50"/>
      <c r="BJ25" s="51">
        <v>15.24934722998575</v>
      </c>
      <c r="BK25" s="51">
        <v>10.249347229985741</v>
      </c>
      <c r="BL25" s="51">
        <v>5.4951407098673881</v>
      </c>
      <c r="BM25" s="51">
        <v>5.18900696374586</v>
      </c>
      <c r="BN25" s="51">
        <v>1.5641372849296991</v>
      </c>
      <c r="BO25" s="51">
        <v>1.4769993512960691</v>
      </c>
      <c r="BP25" s="52">
        <v>6350.9541338691424</v>
      </c>
      <c r="BQ25" s="52">
        <v>5997.1431064360904</v>
      </c>
      <c r="BR25" s="52">
        <v>5696.8212062468319</v>
      </c>
      <c r="BS25" s="114"/>
      <c r="BT25" s="16"/>
      <c r="BU25" s="16"/>
      <c r="BV25" s="16"/>
      <c r="BW25" s="16"/>
      <c r="BX25" s="16"/>
      <c r="BY25" s="16"/>
      <c r="BZ25" s="39"/>
      <c r="CA25" s="16"/>
      <c r="CB25" s="16"/>
      <c r="CC25" s="16"/>
      <c r="CD25" s="16"/>
      <c r="CE25" s="16"/>
      <c r="CF25" s="16"/>
      <c r="CG25" s="20"/>
      <c r="CH25" s="31"/>
      <c r="CI25" s="31"/>
      <c r="CJ25" s="31"/>
      <c r="CK25" s="31"/>
    </row>
    <row r="26" spans="1:89">
      <c r="A26" s="233">
        <v>23</v>
      </c>
      <c r="B26" s="33">
        <v>0</v>
      </c>
      <c r="C26" s="115">
        <v>45931</v>
      </c>
      <c r="D26" s="116" t="s">
        <v>97</v>
      </c>
      <c r="E26" s="15" t="s">
        <v>189</v>
      </c>
      <c r="F26" s="85" t="s">
        <v>190</v>
      </c>
      <c r="G26" s="85" t="s">
        <v>191</v>
      </c>
      <c r="H26" s="62" t="s">
        <v>287</v>
      </c>
      <c r="I26" s="85" t="s">
        <v>102</v>
      </c>
      <c r="J26" s="53">
        <v>45958</v>
      </c>
      <c r="K26" s="53">
        <v>45958</v>
      </c>
      <c r="L26" s="53">
        <v>45959.666666666657</v>
      </c>
      <c r="M26" s="35"/>
      <c r="N26" s="35"/>
      <c r="O26" s="35"/>
      <c r="P26" s="35"/>
      <c r="Q26" s="35"/>
      <c r="R26" s="35"/>
      <c r="S26" s="35"/>
      <c r="T26" s="35"/>
      <c r="U26" s="35"/>
      <c r="V26" s="120"/>
      <c r="W26" s="120"/>
      <c r="X26" s="120"/>
      <c r="Y26" s="35"/>
      <c r="Z26" s="22"/>
      <c r="AA26" s="35"/>
      <c r="AB26" s="35"/>
      <c r="AC26" s="35"/>
      <c r="AD26" s="23"/>
      <c r="AE26" s="23"/>
      <c r="AF26" s="120"/>
      <c r="AG26" s="23"/>
      <c r="AH26" s="120"/>
      <c r="AI26" s="35"/>
      <c r="AJ26" s="23"/>
      <c r="AK26" s="23"/>
      <c r="AL26" s="23"/>
      <c r="AM26" s="120"/>
      <c r="AN26" s="120"/>
      <c r="AO26" s="21"/>
      <c r="AP26" s="35"/>
      <c r="AQ26" s="35"/>
      <c r="AR26" s="23"/>
      <c r="AS26" s="35"/>
      <c r="AT26" s="35"/>
      <c r="AU26" s="23"/>
      <c r="AV26" s="21"/>
      <c r="AW26" s="35"/>
      <c r="AX26" s="35"/>
      <c r="AY26" s="23"/>
      <c r="AZ26" s="23"/>
      <c r="BA26" s="23"/>
      <c r="BB26" s="120"/>
      <c r="BC26" s="35"/>
      <c r="BD26" s="46">
        <v>2000</v>
      </c>
      <c r="BE26" s="47"/>
      <c r="BF26" s="47"/>
      <c r="BG26" s="54">
        <v>1</v>
      </c>
      <c r="BH26" s="49" t="s">
        <v>115</v>
      </c>
      <c r="BI26" s="50"/>
      <c r="BJ26" s="51">
        <v>15.24934722998575</v>
      </c>
      <c r="BK26" s="51">
        <v>10.249347229985741</v>
      </c>
      <c r="BL26" s="51">
        <v>5.4951407098673881</v>
      </c>
      <c r="BM26" s="51">
        <v>5.18900696374586</v>
      </c>
      <c r="BN26" s="51">
        <v>1.5641372849296991</v>
      </c>
      <c r="BO26" s="51">
        <v>1.4769993512960691</v>
      </c>
      <c r="BP26" s="52">
        <v>6350.9541338691424</v>
      </c>
      <c r="BQ26" s="52">
        <v>5997.1431064360904</v>
      </c>
      <c r="BR26" s="52">
        <v>5696.8212062468319</v>
      </c>
      <c r="BS26" s="114"/>
      <c r="BT26" s="16"/>
      <c r="BU26" s="16"/>
      <c r="BV26" s="16"/>
      <c r="BW26" s="16"/>
      <c r="BX26" s="16"/>
      <c r="BY26" s="16"/>
      <c r="BZ26" s="39"/>
      <c r="CA26" s="16"/>
      <c r="CB26" s="16"/>
      <c r="CC26" s="16"/>
      <c r="CD26" s="16"/>
      <c r="CE26" s="16"/>
      <c r="CF26" s="16"/>
      <c r="CG26" s="20"/>
      <c r="CH26" s="32"/>
      <c r="CI26" s="32"/>
      <c r="CJ26" s="32"/>
      <c r="CK26" s="32"/>
    </row>
    <row r="27" spans="1:89">
      <c r="A27" s="233">
        <v>24</v>
      </c>
      <c r="B27" s="33">
        <v>1</v>
      </c>
      <c r="C27" s="115">
        <v>45931</v>
      </c>
      <c r="D27" s="116" t="s">
        <v>133</v>
      </c>
      <c r="E27" s="15" t="s">
        <v>98</v>
      </c>
      <c r="F27" s="85" t="s">
        <v>141</v>
      </c>
      <c r="G27" s="85" t="s">
        <v>288</v>
      </c>
      <c r="H27" s="62" t="s">
        <v>289</v>
      </c>
      <c r="I27" s="85" t="s">
        <v>197</v>
      </c>
      <c r="J27" s="53">
        <v>45928</v>
      </c>
      <c r="K27" s="53">
        <v>45930.5</v>
      </c>
      <c r="L27" s="53">
        <v>45933.3</v>
      </c>
      <c r="M27" s="35"/>
      <c r="N27" s="35"/>
      <c r="O27" s="35"/>
      <c r="P27" s="35"/>
      <c r="Q27" s="35"/>
      <c r="R27" s="35"/>
      <c r="S27" s="35"/>
      <c r="T27" s="35"/>
      <c r="U27" s="35"/>
      <c r="V27" s="120"/>
      <c r="W27" s="120"/>
      <c r="X27" s="120"/>
      <c r="Y27" s="35"/>
      <c r="Z27" s="22"/>
      <c r="AA27" s="35"/>
      <c r="AB27" s="35"/>
      <c r="AC27" s="35"/>
      <c r="AD27" s="23"/>
      <c r="AE27" s="23"/>
      <c r="AF27" s="120"/>
      <c r="AG27" s="23"/>
      <c r="AH27" s="120"/>
      <c r="AI27" s="35"/>
      <c r="AJ27" s="23"/>
      <c r="AK27" s="23"/>
      <c r="AL27" s="23"/>
      <c r="AM27" s="120"/>
      <c r="AN27" s="120"/>
      <c r="AO27" s="21"/>
      <c r="AP27" s="35"/>
      <c r="AQ27" s="35"/>
      <c r="AR27" s="23"/>
      <c r="AS27" s="35"/>
      <c r="AT27" s="35"/>
      <c r="AU27" s="23"/>
      <c r="AV27" s="21"/>
      <c r="AW27" s="35"/>
      <c r="AX27" s="35"/>
      <c r="AY27" s="23"/>
      <c r="AZ27" s="23"/>
      <c r="BA27" s="23"/>
      <c r="BB27" s="120"/>
      <c r="BC27" s="35"/>
      <c r="BD27" s="46">
        <v>70000</v>
      </c>
      <c r="BE27" s="47">
        <v>45928</v>
      </c>
      <c r="BF27" s="47">
        <v>45937</v>
      </c>
      <c r="BG27" s="48">
        <v>0.6785714285714286</v>
      </c>
      <c r="BH27" s="49" t="s">
        <v>115</v>
      </c>
      <c r="BI27" s="50"/>
      <c r="BJ27" s="51">
        <v>20.745090321266719</v>
      </c>
      <c r="BK27" s="51">
        <v>13.467502152637669</v>
      </c>
      <c r="BL27" s="51">
        <v>5.1534125957373886</v>
      </c>
      <c r="BM27" s="51">
        <v>4.5820223785879506</v>
      </c>
      <c r="BN27" s="51">
        <v>0.71136170634525431</v>
      </c>
      <c r="BO27" s="51">
        <v>0.6668852850184136</v>
      </c>
      <c r="BP27" s="52">
        <v>6041.7265004515348</v>
      </c>
      <c r="BQ27" s="52">
        <v>5562.1461412112794</v>
      </c>
      <c r="BR27" s="52">
        <v>5239.5935295890931</v>
      </c>
      <c r="BS27" s="114"/>
      <c r="BT27" s="16"/>
      <c r="BU27" s="16"/>
      <c r="BV27" s="16"/>
      <c r="BW27" s="16"/>
      <c r="BX27" s="16"/>
      <c r="BY27" s="16"/>
      <c r="BZ27" s="39"/>
      <c r="CA27" s="16"/>
      <c r="CB27" s="16"/>
      <c r="CC27" s="16"/>
      <c r="CD27" s="16"/>
      <c r="CE27" s="16"/>
      <c r="CF27" s="16"/>
      <c r="CG27" s="20"/>
      <c r="CH27" s="31"/>
      <c r="CI27" s="31"/>
      <c r="CJ27" s="31"/>
      <c r="CK27" s="31"/>
    </row>
    <row r="28" spans="1:89">
      <c r="A28" s="234">
        <v>25</v>
      </c>
      <c r="B28" s="161">
        <v>2</v>
      </c>
      <c r="C28" s="148">
        <v>45931</v>
      </c>
      <c r="D28" s="154" t="s">
        <v>133</v>
      </c>
      <c r="E28" s="162" t="s">
        <v>98</v>
      </c>
      <c r="F28" s="166" t="s">
        <v>141</v>
      </c>
      <c r="G28" s="166" t="s">
        <v>290</v>
      </c>
      <c r="H28" s="167" t="s">
        <v>291</v>
      </c>
      <c r="I28" s="149" t="s">
        <v>197</v>
      </c>
      <c r="J28" s="163">
        <v>45930</v>
      </c>
      <c r="K28" s="163">
        <v>45932.666666666657</v>
      </c>
      <c r="L28" s="163">
        <v>45935.866666666669</v>
      </c>
      <c r="M28" s="164"/>
      <c r="N28" s="164"/>
      <c r="O28" s="164"/>
      <c r="P28" s="164"/>
      <c r="Q28" s="164"/>
      <c r="R28" s="164"/>
      <c r="S28" s="164"/>
      <c r="T28" s="164"/>
      <c r="U28" s="147"/>
      <c r="V28" s="168"/>
      <c r="W28" s="168"/>
      <c r="X28" s="168"/>
      <c r="Y28" s="164"/>
      <c r="Z28" s="165"/>
      <c r="AA28" s="164"/>
      <c r="AB28" s="164"/>
      <c r="AC28" s="164"/>
      <c r="AD28" s="165"/>
      <c r="AE28" s="165"/>
      <c r="AF28" s="168"/>
      <c r="AG28" s="165"/>
      <c r="AH28" s="168"/>
      <c r="AI28" s="164"/>
      <c r="AJ28" s="165"/>
      <c r="AK28" s="165"/>
      <c r="AL28" s="165"/>
      <c r="AM28" s="168"/>
      <c r="AN28" s="168"/>
      <c r="AO28" s="155"/>
      <c r="AP28" s="164"/>
      <c r="AQ28" s="164"/>
      <c r="AR28" s="165"/>
      <c r="AS28" s="164"/>
      <c r="AT28" s="164"/>
      <c r="AU28" s="165"/>
      <c r="AV28" s="155"/>
      <c r="AW28" s="164"/>
      <c r="AX28" s="164"/>
      <c r="AY28" s="165"/>
      <c r="AZ28" s="165"/>
      <c r="BA28" s="165"/>
      <c r="BB28" s="164"/>
      <c r="BC28" s="164"/>
      <c r="BD28" s="156">
        <v>80000</v>
      </c>
      <c r="BE28" s="157">
        <v>45930</v>
      </c>
      <c r="BF28" s="157">
        <v>45939</v>
      </c>
      <c r="BG28" s="158">
        <v>0.71875</v>
      </c>
      <c r="BH28" s="169" t="s">
        <v>115</v>
      </c>
      <c r="BI28" s="159"/>
      <c r="BJ28" s="170">
        <v>16.149765044640642</v>
      </c>
      <c r="BK28" s="170">
        <v>11.16216345942491</v>
      </c>
      <c r="BL28" s="170">
        <v>4.1877347312672502</v>
      </c>
      <c r="BM28" s="170">
        <v>3.9412807077756269</v>
      </c>
      <c r="BN28" s="170">
        <v>0.74388627680686281</v>
      </c>
      <c r="BO28" s="170">
        <v>0.70067117699501935</v>
      </c>
      <c r="BP28" s="171">
        <v>6428.4863350840724</v>
      </c>
      <c r="BQ28" s="171">
        <v>6070.0075979878911</v>
      </c>
      <c r="BR28" s="171">
        <v>5757.6928932519677</v>
      </c>
      <c r="BS28" s="172"/>
      <c r="BT28" s="173"/>
      <c r="BU28" s="173"/>
      <c r="BV28" s="174"/>
      <c r="BW28" s="174"/>
      <c r="BX28" s="174"/>
      <c r="BY28" s="174"/>
      <c r="BZ28" s="175"/>
      <c r="CA28" s="176"/>
      <c r="CB28" s="173"/>
      <c r="CC28" s="174"/>
      <c r="CD28" s="174"/>
      <c r="CE28" s="174"/>
      <c r="CF28" s="174"/>
      <c r="CG28" s="160"/>
      <c r="CH28" s="174"/>
      <c r="CI28" s="174"/>
      <c r="CJ28" s="174"/>
      <c r="CK28" s="174"/>
    </row>
    <row r="29" spans="1:89">
      <c r="A29" s="233">
        <v>26</v>
      </c>
      <c r="B29" s="196">
        <v>3</v>
      </c>
      <c r="C29" s="148">
        <v>45931</v>
      </c>
      <c r="D29" s="154" t="s">
        <v>133</v>
      </c>
      <c r="E29" s="197" t="s">
        <v>98</v>
      </c>
      <c r="F29" s="166" t="s">
        <v>141</v>
      </c>
      <c r="G29" s="166" t="s">
        <v>292</v>
      </c>
      <c r="H29" s="225" t="s">
        <v>293</v>
      </c>
      <c r="I29" s="149" t="s">
        <v>197</v>
      </c>
      <c r="J29" s="200">
        <v>45934</v>
      </c>
      <c r="K29" s="200">
        <v>45935.916666666657</v>
      </c>
      <c r="L29" s="200">
        <v>45938.116666666669</v>
      </c>
      <c r="M29" s="201"/>
      <c r="N29" s="201"/>
      <c r="O29" s="201"/>
      <c r="P29" s="201"/>
      <c r="Q29" s="201"/>
      <c r="R29" s="201"/>
      <c r="S29" s="201"/>
      <c r="T29" s="201"/>
      <c r="U29" s="147"/>
      <c r="V29" s="226"/>
      <c r="W29" s="226"/>
      <c r="X29" s="226"/>
      <c r="Y29" s="201"/>
      <c r="Z29" s="202"/>
      <c r="AA29" s="201"/>
      <c r="AB29" s="201"/>
      <c r="AC29" s="201"/>
      <c r="AD29" s="202"/>
      <c r="AE29" s="202"/>
      <c r="AF29" s="226"/>
      <c r="AG29" s="202"/>
      <c r="AH29" s="226"/>
      <c r="AI29" s="201"/>
      <c r="AJ29" s="202"/>
      <c r="AK29" s="202"/>
      <c r="AL29" s="202"/>
      <c r="AM29" s="226"/>
      <c r="AN29" s="226"/>
      <c r="AO29" s="203"/>
      <c r="AP29" s="201"/>
      <c r="AQ29" s="201"/>
      <c r="AR29" s="202"/>
      <c r="AS29" s="201"/>
      <c r="AT29" s="201"/>
      <c r="AU29" s="202"/>
      <c r="AV29" s="203"/>
      <c r="AW29" s="201"/>
      <c r="AX29" s="201"/>
      <c r="AY29" s="202"/>
      <c r="AZ29" s="202"/>
      <c r="BA29" s="202"/>
      <c r="BB29" s="201"/>
      <c r="BC29" s="201"/>
      <c r="BD29" s="204">
        <v>55000</v>
      </c>
      <c r="BE29" s="220">
        <v>45934</v>
      </c>
      <c r="BF29" s="220">
        <v>45943</v>
      </c>
      <c r="BG29" s="205">
        <v>0.63090909090909086</v>
      </c>
      <c r="BH29" s="206" t="s">
        <v>115</v>
      </c>
      <c r="BI29" s="207"/>
      <c r="BJ29" s="227">
        <v>18.232311865980279</v>
      </c>
      <c r="BK29" s="227">
        <v>12.27749771523238</v>
      </c>
      <c r="BL29" s="227">
        <v>4.6778830346011278</v>
      </c>
      <c r="BM29" s="227">
        <v>4.3335312412991609</v>
      </c>
      <c r="BN29" s="227">
        <v>0.87559817449719768</v>
      </c>
      <c r="BO29" s="227">
        <v>0.81589895398825829</v>
      </c>
      <c r="BP29" s="228">
        <v>6242.9044135634176</v>
      </c>
      <c r="BQ29" s="228">
        <v>5824.2795899157081</v>
      </c>
      <c r="BR29" s="228">
        <v>5506.2574095407117</v>
      </c>
      <c r="BS29" s="195"/>
      <c r="BT29" s="221"/>
      <c r="BU29" s="221"/>
      <c r="BV29" s="211"/>
      <c r="BW29" s="211"/>
      <c r="BX29" s="211"/>
      <c r="BY29" s="211"/>
      <c r="BZ29" s="212"/>
      <c r="CA29" s="213"/>
      <c r="CB29" s="221"/>
      <c r="CC29" s="211"/>
      <c r="CD29" s="211"/>
      <c r="CE29" s="211"/>
      <c r="CF29" s="211"/>
      <c r="CG29" s="214"/>
      <c r="CH29" s="211"/>
      <c r="CI29" s="211"/>
      <c r="CJ29" s="211"/>
      <c r="CK29" s="211"/>
    </row>
    <row r="30" spans="1:89">
      <c r="A30" s="233">
        <v>27</v>
      </c>
      <c r="B30" s="196">
        <v>4</v>
      </c>
      <c r="C30" s="148">
        <v>45931</v>
      </c>
      <c r="D30" s="154" t="s">
        <v>148</v>
      </c>
      <c r="E30" s="197" t="s">
        <v>98</v>
      </c>
      <c r="F30" s="166" t="s">
        <v>156</v>
      </c>
      <c r="G30" s="166" t="s">
        <v>294</v>
      </c>
      <c r="H30" s="225" t="s">
        <v>295</v>
      </c>
      <c r="I30" s="149" t="s">
        <v>197</v>
      </c>
      <c r="J30" s="200">
        <v>45937</v>
      </c>
      <c r="K30" s="200">
        <v>45938.833333333343</v>
      </c>
      <c r="L30" s="200">
        <v>45941.23333333333</v>
      </c>
      <c r="M30" s="201"/>
      <c r="N30" s="201"/>
      <c r="O30" s="201"/>
      <c r="P30" s="201"/>
      <c r="Q30" s="201"/>
      <c r="R30" s="201"/>
      <c r="S30" s="201"/>
      <c r="T30" s="201"/>
      <c r="U30" s="147"/>
      <c r="V30" s="226"/>
      <c r="W30" s="226"/>
      <c r="X30" s="226"/>
      <c r="Y30" s="201"/>
      <c r="Z30" s="202"/>
      <c r="AA30" s="201"/>
      <c r="AB30" s="201"/>
      <c r="AC30" s="201"/>
      <c r="AD30" s="202"/>
      <c r="AE30" s="202"/>
      <c r="AF30" s="226"/>
      <c r="AG30" s="202"/>
      <c r="AH30" s="226"/>
      <c r="AI30" s="201"/>
      <c r="AJ30" s="202"/>
      <c r="AK30" s="202"/>
      <c r="AL30" s="202"/>
      <c r="AM30" s="226"/>
      <c r="AN30" s="226"/>
      <c r="AO30" s="203"/>
      <c r="AP30" s="201"/>
      <c r="AQ30" s="201"/>
      <c r="AR30" s="202"/>
      <c r="AS30" s="201"/>
      <c r="AT30" s="201"/>
      <c r="AU30" s="202"/>
      <c r="AV30" s="203"/>
      <c r="AW30" s="201"/>
      <c r="AX30" s="201"/>
      <c r="AY30" s="202"/>
      <c r="AZ30" s="202"/>
      <c r="BA30" s="202"/>
      <c r="BB30" s="201"/>
      <c r="BC30" s="201"/>
      <c r="BD30" s="204">
        <v>60000</v>
      </c>
      <c r="BE30" s="220">
        <v>45937</v>
      </c>
      <c r="BF30" s="220">
        <v>45946</v>
      </c>
      <c r="BG30" s="205">
        <v>0.625</v>
      </c>
      <c r="BH30" s="206" t="s">
        <v>115</v>
      </c>
      <c r="BI30" s="207"/>
      <c r="BJ30" s="227">
        <v>14.38967897651035</v>
      </c>
      <c r="BK30" s="227">
        <v>8.1734969394664141</v>
      </c>
      <c r="BL30" s="227">
        <v>5.0194011065626354</v>
      </c>
      <c r="BM30" s="227">
        <v>4.6608392701766421</v>
      </c>
      <c r="BN30" s="227">
        <v>0.68940977903394185</v>
      </c>
      <c r="BO30" s="227">
        <v>0.64233863017086568</v>
      </c>
      <c r="BP30" s="228">
        <v>6626.2413691745633</v>
      </c>
      <c r="BQ30" s="228">
        <v>6185.4393309322786</v>
      </c>
      <c r="BR30" s="228">
        <v>5882.3658486350423</v>
      </c>
      <c r="BS30" s="195"/>
      <c r="BT30" s="221"/>
      <c r="BU30" s="221"/>
      <c r="BV30" s="211"/>
      <c r="BW30" s="211"/>
      <c r="BX30" s="211"/>
      <c r="BY30" s="211"/>
      <c r="BZ30" s="212"/>
      <c r="CA30" s="213"/>
      <c r="CB30" s="221"/>
      <c r="CC30" s="211"/>
      <c r="CD30" s="211"/>
      <c r="CE30" s="211"/>
      <c r="CF30" s="211"/>
      <c r="CG30" s="214"/>
      <c r="CH30" s="211"/>
      <c r="CI30" s="211"/>
      <c r="CJ30" s="211"/>
      <c r="CK30" s="211"/>
    </row>
    <row r="31" spans="1:89">
      <c r="A31" s="234">
        <v>28</v>
      </c>
      <c r="B31" s="196">
        <v>5</v>
      </c>
      <c r="C31" s="148">
        <v>45931</v>
      </c>
      <c r="D31" s="154" t="s">
        <v>133</v>
      </c>
      <c r="E31" s="197" t="s">
        <v>98</v>
      </c>
      <c r="F31" s="166" t="s">
        <v>156</v>
      </c>
      <c r="G31" s="166" t="s">
        <v>296</v>
      </c>
      <c r="H31" s="225" t="s">
        <v>297</v>
      </c>
      <c r="I31" s="149" t="s">
        <v>197</v>
      </c>
      <c r="J31" s="200">
        <v>45942</v>
      </c>
      <c r="K31" s="200">
        <v>45943.833333333343</v>
      </c>
      <c r="L31" s="200">
        <v>45946.633333333331</v>
      </c>
      <c r="M31" s="201"/>
      <c r="N31" s="201"/>
      <c r="O31" s="201"/>
      <c r="P31" s="201"/>
      <c r="Q31" s="201"/>
      <c r="R31" s="201"/>
      <c r="S31" s="201"/>
      <c r="T31" s="201"/>
      <c r="U31" s="147"/>
      <c r="V31" s="226"/>
      <c r="W31" s="226"/>
      <c r="X31" s="226"/>
      <c r="Y31" s="201"/>
      <c r="Z31" s="202"/>
      <c r="AA31" s="201"/>
      <c r="AB31" s="201"/>
      <c r="AC31" s="201"/>
      <c r="AD31" s="202"/>
      <c r="AE31" s="202"/>
      <c r="AF31" s="226"/>
      <c r="AG31" s="202"/>
      <c r="AH31" s="226"/>
      <c r="AI31" s="201"/>
      <c r="AJ31" s="202"/>
      <c r="AK31" s="202"/>
      <c r="AL31" s="202"/>
      <c r="AM31" s="226"/>
      <c r="AN31" s="226"/>
      <c r="AO31" s="203"/>
      <c r="AP31" s="201"/>
      <c r="AQ31" s="201"/>
      <c r="AR31" s="202"/>
      <c r="AS31" s="201"/>
      <c r="AT31" s="201"/>
      <c r="AU31" s="202"/>
      <c r="AV31" s="203"/>
      <c r="AW31" s="201"/>
      <c r="AX31" s="201"/>
      <c r="AY31" s="202"/>
      <c r="AZ31" s="202"/>
      <c r="BA31" s="202"/>
      <c r="BB31" s="201"/>
      <c r="BC31" s="201"/>
      <c r="BD31" s="204">
        <v>70000</v>
      </c>
      <c r="BE31" s="220">
        <v>45942</v>
      </c>
      <c r="BF31" s="220">
        <v>45951</v>
      </c>
      <c r="BG31" s="205">
        <v>0.6785714285714286</v>
      </c>
      <c r="BH31" s="206" t="s">
        <v>115</v>
      </c>
      <c r="BI31" s="207"/>
      <c r="BJ31" s="227">
        <v>21.040280590403469</v>
      </c>
      <c r="BK31" s="227">
        <v>13.31919636005698</v>
      </c>
      <c r="BL31" s="227">
        <v>5.7153944773655443</v>
      </c>
      <c r="BM31" s="227">
        <v>5.078733122246728</v>
      </c>
      <c r="BN31" s="227">
        <v>1.0448008345217401</v>
      </c>
      <c r="BO31" s="227">
        <v>0.98040225909006118</v>
      </c>
      <c r="BP31" s="228">
        <v>6021.2342461309227</v>
      </c>
      <c r="BQ31" s="228">
        <v>5512.471611549563</v>
      </c>
      <c r="BR31" s="228">
        <v>5204.9129439813751</v>
      </c>
      <c r="BS31" s="195"/>
      <c r="BT31" s="221"/>
      <c r="BU31" s="221"/>
      <c r="BV31" s="211"/>
      <c r="BW31" s="211"/>
      <c r="BX31" s="211"/>
      <c r="BY31" s="211"/>
      <c r="BZ31" s="212"/>
      <c r="CA31" s="213"/>
      <c r="CB31" s="221"/>
      <c r="CC31" s="211"/>
      <c r="CD31" s="211"/>
      <c r="CE31" s="211"/>
      <c r="CF31" s="211"/>
      <c r="CG31" s="214"/>
      <c r="CH31" s="211"/>
      <c r="CI31" s="211"/>
      <c r="CJ31" s="211"/>
      <c r="CK31" s="211"/>
    </row>
    <row r="32" spans="1:89">
      <c r="A32" s="233">
        <v>29</v>
      </c>
      <c r="B32" s="196">
        <v>6</v>
      </c>
      <c r="C32" s="148">
        <v>45931</v>
      </c>
      <c r="D32" s="154" t="s">
        <v>148</v>
      </c>
      <c r="E32" s="197" t="s">
        <v>98</v>
      </c>
      <c r="F32" s="166" t="s">
        <v>156</v>
      </c>
      <c r="G32" s="166" t="s">
        <v>298</v>
      </c>
      <c r="H32" s="225" t="s">
        <v>299</v>
      </c>
      <c r="I32" s="149" t="s">
        <v>197</v>
      </c>
      <c r="J32" s="200">
        <v>45944</v>
      </c>
      <c r="K32" s="200">
        <v>45945.916666666657</v>
      </c>
      <c r="L32" s="200">
        <v>45948.556666666656</v>
      </c>
      <c r="M32" s="201"/>
      <c r="N32" s="201"/>
      <c r="O32" s="201"/>
      <c r="P32" s="201"/>
      <c r="Q32" s="201"/>
      <c r="R32" s="201"/>
      <c r="S32" s="201"/>
      <c r="T32" s="201"/>
      <c r="U32" s="147"/>
      <c r="V32" s="226"/>
      <c r="W32" s="226"/>
      <c r="X32" s="226"/>
      <c r="Y32" s="201"/>
      <c r="Z32" s="202"/>
      <c r="AA32" s="201"/>
      <c r="AB32" s="201"/>
      <c r="AC32" s="201"/>
      <c r="AD32" s="202"/>
      <c r="AE32" s="202"/>
      <c r="AF32" s="226"/>
      <c r="AG32" s="202"/>
      <c r="AH32" s="226"/>
      <c r="AI32" s="201"/>
      <c r="AJ32" s="202"/>
      <c r="AK32" s="202"/>
      <c r="AL32" s="202"/>
      <c r="AM32" s="226"/>
      <c r="AN32" s="226"/>
      <c r="AO32" s="203"/>
      <c r="AP32" s="201"/>
      <c r="AQ32" s="201"/>
      <c r="AR32" s="202"/>
      <c r="AS32" s="201"/>
      <c r="AT32" s="201"/>
      <c r="AU32" s="202"/>
      <c r="AV32" s="203"/>
      <c r="AW32" s="201"/>
      <c r="AX32" s="201"/>
      <c r="AY32" s="202"/>
      <c r="AZ32" s="202"/>
      <c r="BA32" s="202"/>
      <c r="BB32" s="201"/>
      <c r="BC32" s="201"/>
      <c r="BD32" s="204">
        <v>66000</v>
      </c>
      <c r="BE32" s="220">
        <v>45944</v>
      </c>
      <c r="BF32" s="220">
        <v>45953</v>
      </c>
      <c r="BG32" s="205">
        <v>0.77272727272727271</v>
      </c>
      <c r="BH32" s="206" t="s">
        <v>115</v>
      </c>
      <c r="BI32" s="207"/>
      <c r="BJ32" s="227">
        <v>13.161769502373369</v>
      </c>
      <c r="BK32" s="227">
        <v>8.1244220324231264</v>
      </c>
      <c r="BL32" s="227">
        <v>4.9827809464018644</v>
      </c>
      <c r="BM32" s="227">
        <v>4.7003520612732066</v>
      </c>
      <c r="BN32" s="227">
        <v>0.98366216756228864</v>
      </c>
      <c r="BO32" s="227">
        <v>0.92742872492677308</v>
      </c>
      <c r="BP32" s="228">
        <v>6698.3993835168794</v>
      </c>
      <c r="BQ32" s="228">
        <v>6334.9100763157476</v>
      </c>
      <c r="BR32" s="228">
        <v>6030.4188446186618</v>
      </c>
      <c r="BS32" s="195"/>
      <c r="BT32" s="221"/>
      <c r="BU32" s="221"/>
      <c r="BV32" s="211"/>
      <c r="BW32" s="211"/>
      <c r="BX32" s="211"/>
      <c r="BY32" s="211"/>
      <c r="BZ32" s="212"/>
      <c r="CA32" s="213"/>
      <c r="CB32" s="221"/>
      <c r="CC32" s="211"/>
      <c r="CD32" s="211"/>
      <c r="CE32" s="211"/>
      <c r="CF32" s="211"/>
      <c r="CG32" s="214"/>
      <c r="CH32" s="211"/>
      <c r="CI32" s="211"/>
      <c r="CJ32" s="211"/>
      <c r="CK32" s="211"/>
    </row>
    <row r="33" spans="1:89">
      <c r="A33" s="233">
        <v>30</v>
      </c>
      <c r="B33" s="196">
        <v>7</v>
      </c>
      <c r="C33" s="148">
        <v>45931</v>
      </c>
      <c r="D33" s="154" t="s">
        <v>133</v>
      </c>
      <c r="E33" s="197" t="s">
        <v>98</v>
      </c>
      <c r="F33" s="166" t="s">
        <v>156</v>
      </c>
      <c r="G33" s="166" t="s">
        <v>237</v>
      </c>
      <c r="H33" s="225" t="s">
        <v>300</v>
      </c>
      <c r="I33" s="149" t="s">
        <v>197</v>
      </c>
      <c r="J33" s="200">
        <v>45946</v>
      </c>
      <c r="K33" s="200">
        <v>45947.166666666657</v>
      </c>
      <c r="L33" s="200">
        <v>45950.166666666657</v>
      </c>
      <c r="M33" s="201"/>
      <c r="N33" s="201"/>
      <c r="O33" s="201"/>
      <c r="P33" s="201"/>
      <c r="Q33" s="201"/>
      <c r="R33" s="201"/>
      <c r="S33" s="201"/>
      <c r="T33" s="201"/>
      <c r="U33" s="147"/>
      <c r="V33" s="226"/>
      <c r="W33" s="226"/>
      <c r="X33" s="226"/>
      <c r="Y33" s="201"/>
      <c r="Z33" s="202"/>
      <c r="AA33" s="201"/>
      <c r="AB33" s="201"/>
      <c r="AC33" s="201"/>
      <c r="AD33" s="202"/>
      <c r="AE33" s="202"/>
      <c r="AF33" s="226"/>
      <c r="AG33" s="202"/>
      <c r="AH33" s="226"/>
      <c r="AI33" s="201"/>
      <c r="AJ33" s="202"/>
      <c r="AK33" s="202"/>
      <c r="AL33" s="202"/>
      <c r="AM33" s="226"/>
      <c r="AN33" s="226"/>
      <c r="AO33" s="203"/>
      <c r="AP33" s="201"/>
      <c r="AQ33" s="201"/>
      <c r="AR33" s="202"/>
      <c r="AS33" s="201"/>
      <c r="AT33" s="201"/>
      <c r="AU33" s="202"/>
      <c r="AV33" s="203"/>
      <c r="AW33" s="201"/>
      <c r="AX33" s="201"/>
      <c r="AY33" s="202"/>
      <c r="AZ33" s="202"/>
      <c r="BA33" s="202"/>
      <c r="BB33" s="201"/>
      <c r="BC33" s="201"/>
      <c r="BD33" s="204">
        <v>75000</v>
      </c>
      <c r="BE33" s="220">
        <v>45946</v>
      </c>
      <c r="BF33" s="220">
        <v>45955</v>
      </c>
      <c r="BG33" s="205">
        <v>0.6293333333333333</v>
      </c>
      <c r="BH33" s="206" t="s">
        <v>115</v>
      </c>
      <c r="BI33" s="207"/>
      <c r="BJ33" s="227">
        <v>21.725201848059829</v>
      </c>
      <c r="BK33" s="227">
        <v>12.381800479728589</v>
      </c>
      <c r="BL33" s="227">
        <v>4.5477848723506069</v>
      </c>
      <c r="BM33" s="227">
        <v>4.0604130515193058</v>
      </c>
      <c r="BN33" s="227">
        <v>0.90665655005427748</v>
      </c>
      <c r="BO33" s="227">
        <v>0.85142462270765706</v>
      </c>
      <c r="BP33" s="228">
        <v>6122.3508195901413</v>
      </c>
      <c r="BQ33" s="228">
        <v>5497.7855020290835</v>
      </c>
      <c r="BR33" s="228">
        <v>5167.6460467556362</v>
      </c>
      <c r="BS33" s="195"/>
      <c r="BT33" s="221"/>
      <c r="BU33" s="221"/>
      <c r="BV33" s="211"/>
      <c r="BW33" s="211"/>
      <c r="BX33" s="211"/>
      <c r="BY33" s="211"/>
      <c r="BZ33" s="212"/>
      <c r="CA33" s="213"/>
      <c r="CB33" s="221"/>
      <c r="CC33" s="211"/>
      <c r="CD33" s="211"/>
      <c r="CE33" s="211"/>
      <c r="CF33" s="211"/>
      <c r="CG33" s="214"/>
      <c r="CH33" s="211"/>
      <c r="CI33" s="211"/>
      <c r="CJ33" s="211"/>
      <c r="CK33" s="211"/>
    </row>
    <row r="34" spans="1:89">
      <c r="A34" s="234">
        <v>31</v>
      </c>
      <c r="B34" s="196">
        <v>8</v>
      </c>
      <c r="C34" s="148">
        <v>45931</v>
      </c>
      <c r="D34" s="154" t="s">
        <v>148</v>
      </c>
      <c r="E34" s="197" t="s">
        <v>98</v>
      </c>
      <c r="F34" s="166" t="s">
        <v>141</v>
      </c>
      <c r="G34" s="166" t="s">
        <v>301</v>
      </c>
      <c r="H34" s="225" t="s">
        <v>302</v>
      </c>
      <c r="I34" s="149" t="s">
        <v>197</v>
      </c>
      <c r="J34" s="200">
        <v>45948</v>
      </c>
      <c r="K34" s="200">
        <v>45949.5</v>
      </c>
      <c r="L34" s="200">
        <v>45952.3</v>
      </c>
      <c r="M34" s="201"/>
      <c r="N34" s="201"/>
      <c r="O34" s="201"/>
      <c r="P34" s="201"/>
      <c r="Q34" s="201"/>
      <c r="R34" s="201"/>
      <c r="S34" s="201"/>
      <c r="T34" s="201"/>
      <c r="U34" s="147"/>
      <c r="V34" s="226"/>
      <c r="W34" s="226"/>
      <c r="X34" s="226"/>
      <c r="Y34" s="201"/>
      <c r="Z34" s="202"/>
      <c r="AA34" s="201"/>
      <c r="AB34" s="201"/>
      <c r="AC34" s="201"/>
      <c r="AD34" s="202"/>
      <c r="AE34" s="202"/>
      <c r="AF34" s="226"/>
      <c r="AG34" s="202"/>
      <c r="AH34" s="226"/>
      <c r="AI34" s="201"/>
      <c r="AJ34" s="202"/>
      <c r="AK34" s="202"/>
      <c r="AL34" s="202"/>
      <c r="AM34" s="226"/>
      <c r="AN34" s="226"/>
      <c r="AO34" s="203"/>
      <c r="AP34" s="201"/>
      <c r="AQ34" s="201"/>
      <c r="AR34" s="202"/>
      <c r="AS34" s="201"/>
      <c r="AT34" s="201"/>
      <c r="AU34" s="202"/>
      <c r="AV34" s="203"/>
      <c r="AW34" s="201"/>
      <c r="AX34" s="201"/>
      <c r="AY34" s="202"/>
      <c r="AZ34" s="202"/>
      <c r="BA34" s="202"/>
      <c r="BB34" s="201"/>
      <c r="BC34" s="201"/>
      <c r="BD34" s="204">
        <v>70000</v>
      </c>
      <c r="BE34" s="220">
        <v>45948</v>
      </c>
      <c r="BF34" s="220">
        <v>45957</v>
      </c>
      <c r="BG34" s="205">
        <v>0.8928571428571429</v>
      </c>
      <c r="BH34" s="206" t="s">
        <v>115</v>
      </c>
      <c r="BI34" s="207"/>
      <c r="BJ34" s="227">
        <v>12.06774927801202</v>
      </c>
      <c r="BK34" s="227">
        <v>7.5903888586761781</v>
      </c>
      <c r="BL34" s="227">
        <v>4.7226864323592359</v>
      </c>
      <c r="BM34" s="227">
        <v>4.4935360693299966</v>
      </c>
      <c r="BN34" s="227">
        <v>0.87999997375812378</v>
      </c>
      <c r="BO34" s="227">
        <v>0.8370964387442299</v>
      </c>
      <c r="BP34" s="228">
        <v>6819.4736693583054</v>
      </c>
      <c r="BQ34" s="228">
        <v>6489.1039755667716</v>
      </c>
      <c r="BR34" s="228">
        <v>6189.562583149861</v>
      </c>
      <c r="BS34" s="195"/>
      <c r="BT34" s="221"/>
      <c r="BU34" s="221"/>
      <c r="BV34" s="211"/>
      <c r="BW34" s="211"/>
      <c r="BX34" s="211"/>
      <c r="BY34" s="211"/>
      <c r="BZ34" s="212"/>
      <c r="CA34" s="213"/>
      <c r="CB34" s="221"/>
      <c r="CC34" s="211"/>
      <c r="CD34" s="211"/>
      <c r="CE34" s="211"/>
      <c r="CF34" s="211"/>
      <c r="CG34" s="214"/>
      <c r="CH34" s="211"/>
      <c r="CI34" s="211"/>
      <c r="CJ34" s="211"/>
      <c r="CK34" s="211"/>
    </row>
    <row r="35" spans="1:89">
      <c r="A35" s="233">
        <v>32</v>
      </c>
      <c r="B35" s="196">
        <v>9</v>
      </c>
      <c r="C35" s="148">
        <v>45931</v>
      </c>
      <c r="D35" s="154" t="s">
        <v>133</v>
      </c>
      <c r="E35" s="197" t="s">
        <v>98</v>
      </c>
      <c r="F35" s="166" t="s">
        <v>156</v>
      </c>
      <c r="G35" s="166" t="s">
        <v>296</v>
      </c>
      <c r="H35" s="225" t="s">
        <v>303</v>
      </c>
      <c r="I35" s="149" t="s">
        <v>197</v>
      </c>
      <c r="J35" s="200">
        <v>45949</v>
      </c>
      <c r="K35" s="200">
        <v>45950.166666666657</v>
      </c>
      <c r="L35" s="200">
        <v>45952.966666666667</v>
      </c>
      <c r="M35" s="201"/>
      <c r="N35" s="201"/>
      <c r="O35" s="201"/>
      <c r="P35" s="201"/>
      <c r="Q35" s="201"/>
      <c r="R35" s="201"/>
      <c r="S35" s="201"/>
      <c r="T35" s="201"/>
      <c r="U35" s="147"/>
      <c r="V35" s="226"/>
      <c r="W35" s="226"/>
      <c r="X35" s="226"/>
      <c r="Y35" s="201"/>
      <c r="Z35" s="202"/>
      <c r="AA35" s="201"/>
      <c r="AB35" s="201"/>
      <c r="AC35" s="201"/>
      <c r="AD35" s="202"/>
      <c r="AE35" s="202"/>
      <c r="AF35" s="226"/>
      <c r="AG35" s="202"/>
      <c r="AH35" s="226"/>
      <c r="AI35" s="201"/>
      <c r="AJ35" s="202"/>
      <c r="AK35" s="202"/>
      <c r="AL35" s="202"/>
      <c r="AM35" s="226"/>
      <c r="AN35" s="226"/>
      <c r="AO35" s="203"/>
      <c r="AP35" s="201"/>
      <c r="AQ35" s="201"/>
      <c r="AR35" s="202"/>
      <c r="AS35" s="201"/>
      <c r="AT35" s="201"/>
      <c r="AU35" s="202"/>
      <c r="AV35" s="203"/>
      <c r="AW35" s="201"/>
      <c r="AX35" s="201"/>
      <c r="AY35" s="202"/>
      <c r="AZ35" s="202"/>
      <c r="BA35" s="202"/>
      <c r="BB35" s="201"/>
      <c r="BC35" s="201"/>
      <c r="BD35" s="204">
        <v>70000</v>
      </c>
      <c r="BE35" s="220">
        <v>45949</v>
      </c>
      <c r="BF35" s="220">
        <v>45958</v>
      </c>
      <c r="BG35" s="205">
        <v>0.71</v>
      </c>
      <c r="BH35" s="206" t="s">
        <v>115</v>
      </c>
      <c r="BI35" s="207"/>
      <c r="BJ35" s="227">
        <v>23.156891771330582</v>
      </c>
      <c r="BK35" s="227">
        <v>13.126612401731711</v>
      </c>
      <c r="BL35" s="227">
        <v>4.6415917430860203</v>
      </c>
      <c r="BM35" s="227">
        <v>3.9263449439751108</v>
      </c>
      <c r="BN35" s="227">
        <v>0.50039446937440146</v>
      </c>
      <c r="BO35" s="227">
        <v>0.45625865372610391</v>
      </c>
      <c r="BP35" s="228">
        <v>6115.3114369748282</v>
      </c>
      <c r="BQ35" s="228">
        <v>5453.4840389437204</v>
      </c>
      <c r="BR35" s="228">
        <v>5123.1690944341663</v>
      </c>
      <c r="BS35" s="195"/>
      <c r="BT35" s="221"/>
      <c r="BU35" s="221"/>
      <c r="BV35" s="211"/>
      <c r="BW35" s="211"/>
      <c r="BX35" s="211"/>
      <c r="BY35" s="211"/>
      <c r="BZ35" s="212"/>
      <c r="CA35" s="213"/>
      <c r="CB35" s="221"/>
      <c r="CC35" s="211"/>
      <c r="CD35" s="211"/>
      <c r="CE35" s="211"/>
      <c r="CF35" s="211"/>
      <c r="CG35" s="214"/>
      <c r="CH35" s="211"/>
      <c r="CI35" s="211"/>
      <c r="CJ35" s="211"/>
      <c r="CK35" s="211"/>
    </row>
    <row r="36" spans="1:89">
      <c r="A36" s="233">
        <v>33</v>
      </c>
      <c r="B36" s="196">
        <v>10</v>
      </c>
      <c r="C36" s="148">
        <v>45931</v>
      </c>
      <c r="D36" s="154" t="s">
        <v>148</v>
      </c>
      <c r="E36" s="197" t="s">
        <v>98</v>
      </c>
      <c r="F36" s="166" t="s">
        <v>141</v>
      </c>
      <c r="G36" s="166" t="s">
        <v>304</v>
      </c>
      <c r="H36" s="225" t="s">
        <v>305</v>
      </c>
      <c r="I36" s="149" t="s">
        <v>197</v>
      </c>
      <c r="J36" s="200">
        <v>45950</v>
      </c>
      <c r="K36" s="200">
        <v>45951.166666666657</v>
      </c>
      <c r="L36" s="200">
        <v>45953.366666666669</v>
      </c>
      <c r="M36" s="201"/>
      <c r="N36" s="201"/>
      <c r="O36" s="201"/>
      <c r="P36" s="201"/>
      <c r="Q36" s="201"/>
      <c r="R36" s="201"/>
      <c r="S36" s="201"/>
      <c r="T36" s="201"/>
      <c r="U36" s="147"/>
      <c r="V36" s="226"/>
      <c r="W36" s="226"/>
      <c r="X36" s="226"/>
      <c r="Y36" s="201"/>
      <c r="Z36" s="202"/>
      <c r="AA36" s="201"/>
      <c r="AB36" s="201"/>
      <c r="AC36" s="201"/>
      <c r="AD36" s="202"/>
      <c r="AE36" s="202"/>
      <c r="AF36" s="226"/>
      <c r="AG36" s="202"/>
      <c r="AH36" s="226"/>
      <c r="AI36" s="201"/>
      <c r="AJ36" s="202"/>
      <c r="AK36" s="202"/>
      <c r="AL36" s="202"/>
      <c r="AM36" s="226"/>
      <c r="AN36" s="226"/>
      <c r="AO36" s="203"/>
      <c r="AP36" s="201"/>
      <c r="AQ36" s="201"/>
      <c r="AR36" s="202"/>
      <c r="AS36" s="201"/>
      <c r="AT36" s="201"/>
      <c r="AU36" s="202"/>
      <c r="AV36" s="203"/>
      <c r="AW36" s="201"/>
      <c r="AX36" s="201"/>
      <c r="AY36" s="202"/>
      <c r="AZ36" s="202"/>
      <c r="BA36" s="202"/>
      <c r="BB36" s="201"/>
      <c r="BC36" s="201"/>
      <c r="BD36" s="204">
        <v>55000</v>
      </c>
      <c r="BE36" s="220">
        <v>45950</v>
      </c>
      <c r="BF36" s="220">
        <v>45959</v>
      </c>
      <c r="BG36" s="205">
        <v>0.59090909090909094</v>
      </c>
      <c r="BH36" s="206" t="s">
        <v>115</v>
      </c>
      <c r="BI36" s="207"/>
      <c r="BJ36" s="227">
        <v>13.660503345623161</v>
      </c>
      <c r="BK36" s="227">
        <v>8.7245040686878674</v>
      </c>
      <c r="BL36" s="227">
        <v>5.3247020226313397</v>
      </c>
      <c r="BM36" s="227">
        <v>5.0325683896172908</v>
      </c>
      <c r="BN36" s="227">
        <v>1.193904592645807</v>
      </c>
      <c r="BO36" s="227">
        <v>1.129999966296023</v>
      </c>
      <c r="BP36" s="228">
        <v>6622.7229645367679</v>
      </c>
      <c r="BQ36" s="228">
        <v>6266.4553460063353</v>
      </c>
      <c r="BR36" s="228">
        <v>5958.2152843713029</v>
      </c>
      <c r="BS36" s="195"/>
      <c r="BT36" s="221"/>
      <c r="BU36" s="221"/>
      <c r="BV36" s="211"/>
      <c r="BW36" s="211"/>
      <c r="BX36" s="211"/>
      <c r="BY36" s="211"/>
      <c r="BZ36" s="212"/>
      <c r="CA36" s="213"/>
      <c r="CB36" s="221"/>
      <c r="CC36" s="211"/>
      <c r="CD36" s="211"/>
      <c r="CE36" s="211"/>
      <c r="CF36" s="211"/>
      <c r="CG36" s="214"/>
      <c r="CH36" s="211"/>
      <c r="CI36" s="211"/>
      <c r="CJ36" s="211"/>
      <c r="CK36" s="211"/>
    </row>
    <row r="37" spans="1:89">
      <c r="A37" s="234">
        <v>34</v>
      </c>
      <c r="B37" s="196">
        <v>11</v>
      </c>
      <c r="C37" s="148">
        <v>45931</v>
      </c>
      <c r="D37" s="154" t="s">
        <v>133</v>
      </c>
      <c r="E37" s="197" t="s">
        <v>98</v>
      </c>
      <c r="F37" s="166" t="s">
        <v>156</v>
      </c>
      <c r="G37" s="166" t="s">
        <v>231</v>
      </c>
      <c r="H37" s="225" t="s">
        <v>306</v>
      </c>
      <c r="I37" s="149" t="s">
        <v>197</v>
      </c>
      <c r="J37" s="200">
        <v>45951</v>
      </c>
      <c r="K37" s="200">
        <v>45952.965770532413</v>
      </c>
      <c r="L37" s="200">
        <v>45955.965770532413</v>
      </c>
      <c r="M37" s="201"/>
      <c r="N37" s="201"/>
      <c r="O37" s="201"/>
      <c r="P37" s="201"/>
      <c r="Q37" s="201"/>
      <c r="R37" s="201"/>
      <c r="S37" s="201"/>
      <c r="T37" s="201"/>
      <c r="U37" s="147"/>
      <c r="V37" s="226"/>
      <c r="W37" s="226"/>
      <c r="X37" s="226"/>
      <c r="Y37" s="201"/>
      <c r="Z37" s="202"/>
      <c r="AA37" s="201"/>
      <c r="AB37" s="201"/>
      <c r="AC37" s="201"/>
      <c r="AD37" s="202"/>
      <c r="AE37" s="202"/>
      <c r="AF37" s="226"/>
      <c r="AG37" s="202"/>
      <c r="AH37" s="226"/>
      <c r="AI37" s="201"/>
      <c r="AJ37" s="202"/>
      <c r="AK37" s="202"/>
      <c r="AL37" s="202"/>
      <c r="AM37" s="226"/>
      <c r="AN37" s="226"/>
      <c r="AO37" s="203"/>
      <c r="AP37" s="201"/>
      <c r="AQ37" s="201"/>
      <c r="AR37" s="202"/>
      <c r="AS37" s="201"/>
      <c r="AT37" s="201"/>
      <c r="AU37" s="202"/>
      <c r="AV37" s="203"/>
      <c r="AW37" s="201"/>
      <c r="AX37" s="201"/>
      <c r="AY37" s="202"/>
      <c r="AZ37" s="202"/>
      <c r="BA37" s="202"/>
      <c r="BB37" s="201"/>
      <c r="BC37" s="201"/>
      <c r="BD37" s="204">
        <v>75000</v>
      </c>
      <c r="BE37" s="220">
        <v>45951</v>
      </c>
      <c r="BF37" s="220">
        <v>45960</v>
      </c>
      <c r="BG37" s="205">
        <v>0.6</v>
      </c>
      <c r="BH37" s="206" t="s">
        <v>115</v>
      </c>
      <c r="BI37" s="207"/>
      <c r="BJ37" s="227">
        <v>20.9021404365614</v>
      </c>
      <c r="BK37" s="227">
        <v>13.5657879238045</v>
      </c>
      <c r="BL37" s="227">
        <v>5.5756650249786874</v>
      </c>
      <c r="BM37" s="227">
        <v>4.9854415187213448</v>
      </c>
      <c r="BN37" s="227">
        <v>0.94934296312253696</v>
      </c>
      <c r="BO37" s="227">
        <v>0.89054680116681384</v>
      </c>
      <c r="BP37" s="228">
        <v>5981.1637052488313</v>
      </c>
      <c r="BQ37" s="228">
        <v>5498.9251332134263</v>
      </c>
      <c r="BR37" s="228">
        <v>5175.079433367112</v>
      </c>
      <c r="BS37" s="195"/>
      <c r="BT37" s="221"/>
      <c r="BU37" s="221"/>
      <c r="BV37" s="211"/>
      <c r="BW37" s="211"/>
      <c r="BX37" s="211"/>
      <c r="BY37" s="211"/>
      <c r="BZ37" s="212"/>
      <c r="CA37" s="213"/>
      <c r="CB37" s="221"/>
      <c r="CC37" s="211"/>
      <c r="CD37" s="211"/>
      <c r="CE37" s="211"/>
      <c r="CF37" s="211"/>
      <c r="CG37" s="214"/>
      <c r="CH37" s="211"/>
      <c r="CI37" s="211"/>
      <c r="CJ37" s="211"/>
      <c r="CK37" s="211"/>
    </row>
    <row r="38" spans="1:89">
      <c r="A38" s="233">
        <v>35</v>
      </c>
      <c r="B38" s="196">
        <v>12</v>
      </c>
      <c r="C38" s="148">
        <v>45931</v>
      </c>
      <c r="D38" s="154" t="s">
        <v>133</v>
      </c>
      <c r="E38" s="197" t="s">
        <v>98</v>
      </c>
      <c r="F38" s="166" t="s">
        <v>141</v>
      </c>
      <c r="G38" s="166" t="s">
        <v>235</v>
      </c>
      <c r="H38" s="225" t="s">
        <v>307</v>
      </c>
      <c r="I38" s="149" t="s">
        <v>197</v>
      </c>
      <c r="J38" s="200">
        <v>45953</v>
      </c>
      <c r="K38" s="200">
        <v>45954.166666666657</v>
      </c>
      <c r="L38" s="200">
        <v>45956.966666666667</v>
      </c>
      <c r="M38" s="201"/>
      <c r="N38" s="201"/>
      <c r="O38" s="201"/>
      <c r="P38" s="201"/>
      <c r="Q38" s="201"/>
      <c r="R38" s="201"/>
      <c r="S38" s="201"/>
      <c r="T38" s="201"/>
      <c r="U38" s="147"/>
      <c r="V38" s="226"/>
      <c r="W38" s="226"/>
      <c r="X38" s="226"/>
      <c r="Y38" s="201"/>
      <c r="Z38" s="202"/>
      <c r="AA38" s="201"/>
      <c r="AB38" s="201"/>
      <c r="AC38" s="201"/>
      <c r="AD38" s="202"/>
      <c r="AE38" s="202"/>
      <c r="AF38" s="226"/>
      <c r="AG38" s="202"/>
      <c r="AH38" s="226"/>
      <c r="AI38" s="201"/>
      <c r="AJ38" s="202"/>
      <c r="AK38" s="202"/>
      <c r="AL38" s="202"/>
      <c r="AM38" s="226"/>
      <c r="AN38" s="226"/>
      <c r="AO38" s="203"/>
      <c r="AP38" s="201"/>
      <c r="AQ38" s="201"/>
      <c r="AR38" s="202"/>
      <c r="AS38" s="201"/>
      <c r="AT38" s="201"/>
      <c r="AU38" s="202"/>
      <c r="AV38" s="203"/>
      <c r="AW38" s="201"/>
      <c r="AX38" s="201"/>
      <c r="AY38" s="202"/>
      <c r="AZ38" s="202"/>
      <c r="BA38" s="202"/>
      <c r="BB38" s="201"/>
      <c r="BC38" s="201"/>
      <c r="BD38" s="204">
        <v>70000</v>
      </c>
      <c r="BE38" s="220">
        <v>45953</v>
      </c>
      <c r="BF38" s="220">
        <v>45962</v>
      </c>
      <c r="BG38" s="205">
        <v>0.71</v>
      </c>
      <c r="BH38" s="206" t="s">
        <v>115</v>
      </c>
      <c r="BI38" s="207"/>
      <c r="BJ38" s="227">
        <v>21.649305742853429</v>
      </c>
      <c r="BK38" s="227">
        <v>13.23049355117276</v>
      </c>
      <c r="BL38" s="227">
        <v>5.3593007955796281</v>
      </c>
      <c r="BM38" s="227">
        <v>4.6983412536164684</v>
      </c>
      <c r="BN38" s="227">
        <v>0.84307579944665334</v>
      </c>
      <c r="BO38" s="227">
        <v>0.79236787688134702</v>
      </c>
      <c r="BP38" s="228">
        <v>6019.4095843345158</v>
      </c>
      <c r="BQ38" s="228">
        <v>5471.6343329165502</v>
      </c>
      <c r="BR38" s="228">
        <v>5147.0322477560094</v>
      </c>
      <c r="BS38" s="195"/>
      <c r="BT38" s="221"/>
      <c r="BU38" s="221"/>
      <c r="BV38" s="211"/>
      <c r="BW38" s="211"/>
      <c r="BX38" s="211"/>
      <c r="BY38" s="211"/>
      <c r="BZ38" s="212"/>
      <c r="CA38" s="213"/>
      <c r="CB38" s="221"/>
      <c r="CC38" s="211"/>
      <c r="CD38" s="211"/>
      <c r="CE38" s="211"/>
      <c r="CF38" s="211"/>
      <c r="CG38" s="214"/>
      <c r="CH38" s="211"/>
      <c r="CI38" s="211"/>
      <c r="CJ38" s="211"/>
      <c r="CK38" s="211"/>
    </row>
    <row r="39" spans="1:89">
      <c r="A39" s="233">
        <v>36</v>
      </c>
      <c r="B39" s="196">
        <v>13</v>
      </c>
      <c r="C39" s="148">
        <v>45931</v>
      </c>
      <c r="D39" s="154" t="s">
        <v>148</v>
      </c>
      <c r="E39" s="197" t="s">
        <v>98</v>
      </c>
      <c r="F39" s="166" t="s">
        <v>141</v>
      </c>
      <c r="G39" s="166" t="s">
        <v>308</v>
      </c>
      <c r="H39" s="225" t="s">
        <v>309</v>
      </c>
      <c r="I39" s="149" t="s">
        <v>197</v>
      </c>
      <c r="J39" s="200">
        <v>45955</v>
      </c>
      <c r="K39" s="200">
        <v>45957.131481481483</v>
      </c>
      <c r="L39" s="200">
        <v>45959.531481481477</v>
      </c>
      <c r="M39" s="201"/>
      <c r="N39" s="201"/>
      <c r="O39" s="201"/>
      <c r="P39" s="201"/>
      <c r="Q39" s="201"/>
      <c r="R39" s="201"/>
      <c r="S39" s="201"/>
      <c r="T39" s="201"/>
      <c r="U39" s="147"/>
      <c r="V39" s="226"/>
      <c r="W39" s="226"/>
      <c r="X39" s="226"/>
      <c r="Y39" s="201"/>
      <c r="Z39" s="202"/>
      <c r="AA39" s="201"/>
      <c r="AB39" s="201"/>
      <c r="AC39" s="201"/>
      <c r="AD39" s="202"/>
      <c r="AE39" s="202"/>
      <c r="AF39" s="226"/>
      <c r="AG39" s="202"/>
      <c r="AH39" s="226"/>
      <c r="AI39" s="201"/>
      <c r="AJ39" s="202"/>
      <c r="AK39" s="202"/>
      <c r="AL39" s="202"/>
      <c r="AM39" s="226"/>
      <c r="AN39" s="226"/>
      <c r="AO39" s="203"/>
      <c r="AP39" s="201"/>
      <c r="AQ39" s="201"/>
      <c r="AR39" s="202"/>
      <c r="AS39" s="201"/>
      <c r="AT39" s="201"/>
      <c r="AU39" s="202"/>
      <c r="AV39" s="203"/>
      <c r="AW39" s="201"/>
      <c r="AX39" s="201"/>
      <c r="AY39" s="202"/>
      <c r="AZ39" s="202"/>
      <c r="BA39" s="202"/>
      <c r="BB39" s="201"/>
      <c r="BC39" s="201"/>
      <c r="BD39" s="204">
        <v>60000</v>
      </c>
      <c r="BE39" s="220">
        <v>45955</v>
      </c>
      <c r="BF39" s="220">
        <v>45964</v>
      </c>
      <c r="BG39" s="205">
        <v>0.875</v>
      </c>
      <c r="BH39" s="206" t="s">
        <v>115</v>
      </c>
      <c r="BI39" s="207"/>
      <c r="BJ39" s="227">
        <v>13.5966548406219</v>
      </c>
      <c r="BK39" s="227">
        <v>8.2917838202659908</v>
      </c>
      <c r="BL39" s="227">
        <v>4.9730696891301749</v>
      </c>
      <c r="BM39" s="227">
        <v>4.6636509737374068</v>
      </c>
      <c r="BN39" s="227">
        <v>0.83784768678853516</v>
      </c>
      <c r="BO39" s="227">
        <v>0.78928453632495243</v>
      </c>
      <c r="BP39" s="228">
        <v>6723.0238321654688</v>
      </c>
      <c r="BQ39" s="228">
        <v>6338.2660605010351</v>
      </c>
      <c r="BR39" s="228">
        <v>6054.8801454961249</v>
      </c>
      <c r="BS39" s="195"/>
      <c r="BT39" s="221"/>
      <c r="BU39" s="221"/>
      <c r="BV39" s="211"/>
      <c r="BW39" s="211"/>
      <c r="BX39" s="211"/>
      <c r="BY39" s="211"/>
      <c r="BZ39" s="212"/>
      <c r="CA39" s="213"/>
      <c r="CB39" s="221"/>
      <c r="CC39" s="211"/>
      <c r="CD39" s="211"/>
      <c r="CE39" s="211"/>
      <c r="CF39" s="211"/>
      <c r="CG39" s="214"/>
      <c r="CH39" s="211"/>
      <c r="CI39" s="211"/>
      <c r="CJ39" s="211"/>
      <c r="CK39" s="211"/>
    </row>
    <row r="40" spans="1:89">
      <c r="A40" s="234">
        <v>37</v>
      </c>
      <c r="B40" s="196">
        <v>14</v>
      </c>
      <c r="C40" s="148">
        <v>45931</v>
      </c>
      <c r="D40" s="154" t="s">
        <v>133</v>
      </c>
      <c r="E40" s="197" t="s">
        <v>98</v>
      </c>
      <c r="F40" s="166" t="s">
        <v>141</v>
      </c>
      <c r="G40" s="166" t="s">
        <v>310</v>
      </c>
      <c r="H40" s="225" t="s">
        <v>311</v>
      </c>
      <c r="I40" s="149" t="s">
        <v>197</v>
      </c>
      <c r="J40" s="200">
        <v>45955</v>
      </c>
      <c r="K40" s="200">
        <v>45957.13244212963</v>
      </c>
      <c r="L40" s="200">
        <v>45960.332442129627</v>
      </c>
      <c r="M40" s="201"/>
      <c r="N40" s="201"/>
      <c r="O40" s="201"/>
      <c r="P40" s="201"/>
      <c r="Q40" s="201"/>
      <c r="R40" s="201"/>
      <c r="S40" s="201"/>
      <c r="T40" s="201"/>
      <c r="U40" s="147"/>
      <c r="V40" s="226"/>
      <c r="W40" s="226"/>
      <c r="X40" s="226"/>
      <c r="Y40" s="201"/>
      <c r="Z40" s="202"/>
      <c r="AA40" s="201"/>
      <c r="AB40" s="201"/>
      <c r="AC40" s="201"/>
      <c r="AD40" s="202"/>
      <c r="AE40" s="202"/>
      <c r="AF40" s="226"/>
      <c r="AG40" s="202"/>
      <c r="AH40" s="226"/>
      <c r="AI40" s="201"/>
      <c r="AJ40" s="202"/>
      <c r="AK40" s="202"/>
      <c r="AL40" s="202"/>
      <c r="AM40" s="226"/>
      <c r="AN40" s="226"/>
      <c r="AO40" s="203"/>
      <c r="AP40" s="201"/>
      <c r="AQ40" s="201"/>
      <c r="AR40" s="202"/>
      <c r="AS40" s="201"/>
      <c r="AT40" s="201"/>
      <c r="AU40" s="202"/>
      <c r="AV40" s="203"/>
      <c r="AW40" s="201"/>
      <c r="AX40" s="201"/>
      <c r="AY40" s="202"/>
      <c r="AZ40" s="202"/>
      <c r="BA40" s="202"/>
      <c r="BB40" s="201"/>
      <c r="BC40" s="201"/>
      <c r="BD40" s="204">
        <v>80000</v>
      </c>
      <c r="BE40" s="220">
        <v>45955</v>
      </c>
      <c r="BF40" s="220">
        <v>45964</v>
      </c>
      <c r="BG40" s="205">
        <v>0.8125</v>
      </c>
      <c r="BH40" s="206" t="s">
        <v>115</v>
      </c>
      <c r="BI40" s="207"/>
      <c r="BJ40" s="227">
        <v>17.77736325196652</v>
      </c>
      <c r="BK40" s="227">
        <v>11.506856555394281</v>
      </c>
      <c r="BL40" s="227">
        <v>4.5390755090132817</v>
      </c>
      <c r="BM40" s="227">
        <v>4.142690545291619</v>
      </c>
      <c r="BN40" s="227">
        <v>0.76100510848332892</v>
      </c>
      <c r="BO40" s="227">
        <v>0.71739082297869394</v>
      </c>
      <c r="BP40" s="228">
        <v>6316.1134451732241</v>
      </c>
      <c r="BQ40" s="228">
        <v>5885.1086552331262</v>
      </c>
      <c r="BR40" s="228">
        <v>5567.9965676009451</v>
      </c>
      <c r="BS40" s="195"/>
      <c r="BT40" s="221"/>
      <c r="BU40" s="221"/>
      <c r="BV40" s="211"/>
      <c r="BW40" s="211"/>
      <c r="BX40" s="211"/>
      <c r="BY40" s="211"/>
      <c r="BZ40" s="212"/>
      <c r="CA40" s="213"/>
      <c r="CB40" s="221"/>
      <c r="CC40" s="211"/>
      <c r="CD40" s="211"/>
      <c r="CE40" s="211"/>
      <c r="CF40" s="211"/>
      <c r="CG40" s="214"/>
      <c r="CH40" s="211"/>
      <c r="CI40" s="211"/>
      <c r="CJ40" s="211"/>
      <c r="CK40" s="211"/>
    </row>
    <row r="41" spans="1:89">
      <c r="A41" s="233">
        <v>38</v>
      </c>
      <c r="B41" s="196">
        <v>15</v>
      </c>
      <c r="C41" s="148">
        <v>45931</v>
      </c>
      <c r="D41" s="154" t="s">
        <v>133</v>
      </c>
      <c r="E41" s="197" t="s">
        <v>98</v>
      </c>
      <c r="F41" s="166" t="s">
        <v>156</v>
      </c>
      <c r="G41" s="166" t="s">
        <v>229</v>
      </c>
      <c r="H41" s="225" t="s">
        <v>312</v>
      </c>
      <c r="I41" s="149" t="s">
        <v>197</v>
      </c>
      <c r="J41" s="200">
        <v>45957</v>
      </c>
      <c r="K41" s="200">
        <v>45958.5</v>
      </c>
      <c r="L41" s="200">
        <v>45961.7</v>
      </c>
      <c r="M41" s="201"/>
      <c r="N41" s="201"/>
      <c r="O41" s="201"/>
      <c r="P41" s="201"/>
      <c r="Q41" s="201"/>
      <c r="R41" s="201"/>
      <c r="S41" s="201"/>
      <c r="T41" s="201"/>
      <c r="U41" s="147"/>
      <c r="V41" s="226"/>
      <c r="W41" s="226"/>
      <c r="X41" s="226"/>
      <c r="Y41" s="201"/>
      <c r="Z41" s="202"/>
      <c r="AA41" s="201"/>
      <c r="AB41" s="201"/>
      <c r="AC41" s="201"/>
      <c r="AD41" s="202"/>
      <c r="AE41" s="202"/>
      <c r="AF41" s="226"/>
      <c r="AG41" s="202"/>
      <c r="AH41" s="226"/>
      <c r="AI41" s="201"/>
      <c r="AJ41" s="202"/>
      <c r="AK41" s="202"/>
      <c r="AL41" s="202"/>
      <c r="AM41" s="226"/>
      <c r="AN41" s="226"/>
      <c r="AO41" s="203"/>
      <c r="AP41" s="201"/>
      <c r="AQ41" s="201"/>
      <c r="AR41" s="202"/>
      <c r="AS41" s="201"/>
      <c r="AT41" s="201"/>
      <c r="AU41" s="202"/>
      <c r="AV41" s="203"/>
      <c r="AW41" s="201"/>
      <c r="AX41" s="201"/>
      <c r="AY41" s="202"/>
      <c r="AZ41" s="202"/>
      <c r="BA41" s="202"/>
      <c r="BB41" s="201"/>
      <c r="BC41" s="201"/>
      <c r="BD41" s="204">
        <v>80000</v>
      </c>
      <c r="BE41" s="220">
        <v>45957</v>
      </c>
      <c r="BF41" s="220">
        <v>45966</v>
      </c>
      <c r="BG41" s="205">
        <v>0.8125</v>
      </c>
      <c r="BH41" s="206" t="s">
        <v>115</v>
      </c>
      <c r="BI41" s="207"/>
      <c r="BJ41" s="227">
        <v>19.447947014917531</v>
      </c>
      <c r="BK41" s="227">
        <v>11.86276710340714</v>
      </c>
      <c r="BL41" s="227">
        <v>3.563973004934315</v>
      </c>
      <c r="BM41" s="227">
        <v>3.246261981830211</v>
      </c>
      <c r="BN41" s="227">
        <v>0.49123015302084522</v>
      </c>
      <c r="BO41" s="227">
        <v>0.46272326030620259</v>
      </c>
      <c r="BP41" s="228">
        <v>6332.7146491888816</v>
      </c>
      <c r="BQ41" s="228">
        <v>5810.8485218313217</v>
      </c>
      <c r="BR41" s="228">
        <v>5487.4411995293167</v>
      </c>
      <c r="BS41" s="195"/>
      <c r="BT41" s="221"/>
      <c r="BU41" s="221"/>
      <c r="BV41" s="211"/>
      <c r="BW41" s="211"/>
      <c r="BX41" s="211"/>
      <c r="BY41" s="211"/>
      <c r="BZ41" s="212"/>
      <c r="CA41" s="213"/>
      <c r="CB41" s="221"/>
      <c r="CC41" s="211"/>
      <c r="CD41" s="211"/>
      <c r="CE41" s="211"/>
      <c r="CF41" s="211"/>
      <c r="CG41" s="214"/>
      <c r="CH41" s="211"/>
      <c r="CI41" s="211"/>
      <c r="CJ41" s="211"/>
      <c r="CK41" s="211"/>
    </row>
    <row r="42" spans="1:89">
      <c r="A42" s="233">
        <v>39</v>
      </c>
      <c r="B42" s="161">
        <v>16</v>
      </c>
      <c r="C42" s="148">
        <v>45931</v>
      </c>
      <c r="D42" s="154" t="s">
        <v>26</v>
      </c>
      <c r="E42" s="162" t="s">
        <v>179</v>
      </c>
      <c r="F42" s="166" t="s">
        <v>186</v>
      </c>
      <c r="G42" s="166" t="s">
        <v>251</v>
      </c>
      <c r="H42" s="167" t="s">
        <v>313</v>
      </c>
      <c r="I42" s="149" t="s">
        <v>253</v>
      </c>
      <c r="J42" s="163">
        <v>45938</v>
      </c>
      <c r="K42" s="163">
        <v>45938.041666666657</v>
      </c>
      <c r="L42" s="163">
        <v>45938.791666666657</v>
      </c>
      <c r="M42" s="164"/>
      <c r="N42" s="164"/>
      <c r="O42" s="164"/>
      <c r="P42" s="164"/>
      <c r="Q42" s="164"/>
      <c r="R42" s="164"/>
      <c r="S42" s="164"/>
      <c r="T42" s="164"/>
      <c r="U42" s="147"/>
      <c r="V42" s="168"/>
      <c r="W42" s="168"/>
      <c r="X42" s="168"/>
      <c r="Y42" s="164"/>
      <c r="Z42" s="165"/>
      <c r="AA42" s="164"/>
      <c r="AB42" s="164"/>
      <c r="AC42" s="164"/>
      <c r="AD42" s="165"/>
      <c r="AE42" s="165"/>
      <c r="AF42" s="168"/>
      <c r="AG42" s="165"/>
      <c r="AH42" s="168"/>
      <c r="AI42" s="164"/>
      <c r="AJ42" s="165"/>
      <c r="AK42" s="165"/>
      <c r="AL42" s="165"/>
      <c r="AM42" s="168"/>
      <c r="AN42" s="168"/>
      <c r="AO42" s="155"/>
      <c r="AP42" s="164"/>
      <c r="AQ42" s="164"/>
      <c r="AR42" s="165"/>
      <c r="AS42" s="164"/>
      <c r="AT42" s="164"/>
      <c r="AU42" s="165"/>
      <c r="AV42" s="155"/>
      <c r="AW42" s="164"/>
      <c r="AX42" s="164"/>
      <c r="AY42" s="165"/>
      <c r="AZ42" s="165"/>
      <c r="BA42" s="165"/>
      <c r="BB42" s="164"/>
      <c r="BC42" s="164"/>
      <c r="BD42" s="156">
        <v>7500</v>
      </c>
      <c r="BE42" s="157"/>
      <c r="BF42" s="157"/>
      <c r="BG42" s="158">
        <v>1</v>
      </c>
      <c r="BH42" s="169" t="s">
        <v>115</v>
      </c>
      <c r="BI42" s="159"/>
      <c r="BJ42" s="170">
        <v>37.9669140290139</v>
      </c>
      <c r="BK42" s="170">
        <v>21.850323539455111</v>
      </c>
      <c r="BL42" s="170">
        <v>8.7085936961137236</v>
      </c>
      <c r="BM42" s="170">
        <v>6.9126446314867263</v>
      </c>
      <c r="BN42" s="170">
        <v>0.15869003442660801</v>
      </c>
      <c r="BO42" s="170">
        <v>0.12596382984764409</v>
      </c>
      <c r="BP42" s="171">
        <v>4618.9818666210576</v>
      </c>
      <c r="BQ42" s="171">
        <v>3666.4220788577281</v>
      </c>
      <c r="BR42" s="171">
        <v>3308.4744199109368</v>
      </c>
      <c r="BS42" s="172"/>
      <c r="BT42" s="173"/>
      <c r="BU42" s="173"/>
      <c r="BV42" s="174"/>
      <c r="BW42" s="174"/>
      <c r="BX42" s="174"/>
      <c r="BY42" s="174"/>
      <c r="BZ42" s="175"/>
      <c r="CA42" s="176"/>
      <c r="CB42" s="173"/>
      <c r="CC42" s="174"/>
      <c r="CD42" s="174"/>
      <c r="CE42" s="174"/>
      <c r="CF42" s="174"/>
      <c r="CG42" s="160"/>
      <c r="CH42" s="174"/>
      <c r="CI42" s="174"/>
      <c r="CJ42" s="174"/>
      <c r="CK42" s="174"/>
    </row>
    <row r="43" spans="1:89">
      <c r="A43" s="251">
        <v>40</v>
      </c>
      <c r="B43" s="196">
        <v>17</v>
      </c>
      <c r="C43" s="240">
        <v>45931</v>
      </c>
      <c r="D43" s="223" t="s">
        <v>26</v>
      </c>
      <c r="E43" s="197" t="s">
        <v>179</v>
      </c>
      <c r="F43" s="198" t="s">
        <v>186</v>
      </c>
      <c r="G43" s="198" t="s">
        <v>251</v>
      </c>
      <c r="H43" s="225" t="s">
        <v>314</v>
      </c>
      <c r="I43" s="224" t="s">
        <v>253</v>
      </c>
      <c r="J43" s="200">
        <v>45945</v>
      </c>
      <c r="K43" s="200">
        <v>45945.041666666657</v>
      </c>
      <c r="L43" s="200">
        <v>45945.791666666657</v>
      </c>
      <c r="M43" s="201"/>
      <c r="N43" s="201"/>
      <c r="O43" s="201"/>
      <c r="P43" s="201"/>
      <c r="Q43" s="201"/>
      <c r="R43" s="201"/>
      <c r="S43" s="201"/>
      <c r="T43" s="201"/>
      <c r="U43" s="201"/>
      <c r="V43" s="226"/>
      <c r="W43" s="226"/>
      <c r="X43" s="226"/>
      <c r="Y43" s="201"/>
      <c r="Z43" s="202"/>
      <c r="AA43" s="201"/>
      <c r="AB43" s="201"/>
      <c r="AC43" s="201"/>
      <c r="AD43" s="202"/>
      <c r="AE43" s="202"/>
      <c r="AF43" s="226"/>
      <c r="AG43" s="202"/>
      <c r="AH43" s="226"/>
      <c r="AI43" s="201"/>
      <c r="AJ43" s="202"/>
      <c r="AK43" s="202"/>
      <c r="AL43" s="202"/>
      <c r="AM43" s="226"/>
      <c r="AN43" s="226"/>
      <c r="AO43" s="203"/>
      <c r="AP43" s="201"/>
      <c r="AQ43" s="201"/>
      <c r="AR43" s="202"/>
      <c r="AS43" s="201"/>
      <c r="AT43" s="201"/>
      <c r="AU43" s="202"/>
      <c r="AV43" s="203"/>
      <c r="AW43" s="201"/>
      <c r="AX43" s="201"/>
      <c r="AY43" s="202"/>
      <c r="AZ43" s="202"/>
      <c r="BA43" s="202"/>
      <c r="BB43" s="201"/>
      <c r="BC43" s="201"/>
      <c r="BD43" s="204">
        <v>7500</v>
      </c>
      <c r="BE43" s="220"/>
      <c r="BF43" s="220"/>
      <c r="BG43" s="205">
        <v>1</v>
      </c>
      <c r="BH43" s="206" t="s">
        <v>115</v>
      </c>
      <c r="BI43" s="207"/>
      <c r="BJ43" s="227">
        <v>37.9669140290139</v>
      </c>
      <c r="BK43" s="227">
        <v>21.850323539455111</v>
      </c>
      <c r="BL43" s="227">
        <v>8.7085936961137236</v>
      </c>
      <c r="BM43" s="227">
        <v>6.9126446314867263</v>
      </c>
      <c r="BN43" s="227">
        <v>0.15869003442660801</v>
      </c>
      <c r="BO43" s="227">
        <v>0.12596382984764409</v>
      </c>
      <c r="BP43" s="228">
        <v>4618.9818666210576</v>
      </c>
      <c r="BQ43" s="228">
        <v>3666.4220788577281</v>
      </c>
      <c r="BR43" s="228">
        <v>3308.4744199109368</v>
      </c>
      <c r="BS43" s="239"/>
      <c r="BT43" s="221"/>
      <c r="BU43" s="221"/>
      <c r="BV43" s="211"/>
      <c r="BW43" s="211"/>
      <c r="BX43" s="211"/>
      <c r="BY43" s="211"/>
      <c r="BZ43" s="212"/>
      <c r="CA43" s="213"/>
      <c r="CB43" s="221"/>
      <c r="CC43" s="211"/>
      <c r="CD43" s="211"/>
      <c r="CE43" s="211"/>
      <c r="CF43" s="211"/>
      <c r="CG43" s="214"/>
      <c r="CH43" s="211"/>
      <c r="CI43" s="211"/>
      <c r="CJ43" s="211"/>
      <c r="CK43" s="211"/>
    </row>
    <row r="44" spans="1:89">
      <c r="A44" s="251">
        <v>41</v>
      </c>
      <c r="B44" s="196">
        <v>18</v>
      </c>
      <c r="C44" s="240">
        <v>45931</v>
      </c>
      <c r="D44" s="223" t="s">
        <v>26</v>
      </c>
      <c r="E44" s="197" t="s">
        <v>179</v>
      </c>
      <c r="F44" s="198" t="s">
        <v>186</v>
      </c>
      <c r="G44" s="198" t="s">
        <v>251</v>
      </c>
      <c r="H44" s="225" t="s">
        <v>315</v>
      </c>
      <c r="I44" s="224" t="s">
        <v>253</v>
      </c>
      <c r="J44" s="200">
        <v>45948</v>
      </c>
      <c r="K44" s="200">
        <v>45948.041666666657</v>
      </c>
      <c r="L44" s="200">
        <v>45948.791666666657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26"/>
      <c r="W44" s="226"/>
      <c r="X44" s="226"/>
      <c r="Y44" s="201"/>
      <c r="Z44" s="202"/>
      <c r="AA44" s="201"/>
      <c r="AB44" s="201"/>
      <c r="AC44" s="201"/>
      <c r="AD44" s="202"/>
      <c r="AE44" s="202"/>
      <c r="AF44" s="226"/>
      <c r="AG44" s="202"/>
      <c r="AH44" s="226"/>
      <c r="AI44" s="201"/>
      <c r="AJ44" s="202"/>
      <c r="AK44" s="202"/>
      <c r="AL44" s="202"/>
      <c r="AM44" s="226"/>
      <c r="AN44" s="226"/>
      <c r="AO44" s="203"/>
      <c r="AP44" s="201"/>
      <c r="AQ44" s="201"/>
      <c r="AR44" s="202"/>
      <c r="AS44" s="201"/>
      <c r="AT44" s="201"/>
      <c r="AU44" s="202"/>
      <c r="AV44" s="203"/>
      <c r="AW44" s="201"/>
      <c r="AX44" s="201"/>
      <c r="AY44" s="202"/>
      <c r="AZ44" s="202"/>
      <c r="BA44" s="202"/>
      <c r="BB44" s="201"/>
      <c r="BC44" s="201"/>
      <c r="BD44" s="204">
        <v>7500</v>
      </c>
      <c r="BE44" s="220"/>
      <c r="BF44" s="220"/>
      <c r="BG44" s="205">
        <v>1</v>
      </c>
      <c r="BH44" s="206" t="s">
        <v>115</v>
      </c>
      <c r="BI44" s="207"/>
      <c r="BJ44" s="227">
        <v>37.9669140290139</v>
      </c>
      <c r="BK44" s="227">
        <v>21.850323539455111</v>
      </c>
      <c r="BL44" s="227">
        <v>8.7085936961137236</v>
      </c>
      <c r="BM44" s="227">
        <v>6.9126446314867263</v>
      </c>
      <c r="BN44" s="227">
        <v>0.15869003442660801</v>
      </c>
      <c r="BO44" s="227">
        <v>0.12596382984764409</v>
      </c>
      <c r="BP44" s="228">
        <v>4618.9818666210576</v>
      </c>
      <c r="BQ44" s="228">
        <v>3666.4220788577281</v>
      </c>
      <c r="BR44" s="228">
        <v>3308.4744199109368</v>
      </c>
      <c r="BS44" s="239"/>
      <c r="BT44" s="221"/>
      <c r="BU44" s="221"/>
      <c r="BV44" s="211"/>
      <c r="BW44" s="211"/>
      <c r="BX44" s="211"/>
      <c r="BY44" s="211"/>
      <c r="BZ44" s="212"/>
      <c r="CA44" s="213"/>
      <c r="CB44" s="221"/>
      <c r="CC44" s="211"/>
      <c r="CD44" s="211"/>
      <c r="CE44" s="211"/>
      <c r="CF44" s="211"/>
      <c r="CG44" s="214"/>
      <c r="CH44" s="211"/>
      <c r="CI44" s="211"/>
      <c r="CJ44" s="211"/>
      <c r="CK44" s="211"/>
    </row>
    <row r="45" spans="1:89">
      <c r="A45" s="251">
        <v>42</v>
      </c>
      <c r="B45" s="196">
        <v>19</v>
      </c>
      <c r="C45" s="240">
        <v>45931</v>
      </c>
      <c r="D45" s="223" t="s">
        <v>26</v>
      </c>
      <c r="E45" s="197" t="s">
        <v>179</v>
      </c>
      <c r="F45" s="198" t="s">
        <v>186</v>
      </c>
      <c r="G45" s="198" t="s">
        <v>251</v>
      </c>
      <c r="H45" s="225" t="s">
        <v>316</v>
      </c>
      <c r="I45" s="224" t="s">
        <v>253</v>
      </c>
      <c r="J45" s="200">
        <v>45952</v>
      </c>
      <c r="K45" s="200">
        <v>45955.041666666657</v>
      </c>
      <c r="L45" s="200">
        <v>45955.791666666657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26"/>
      <c r="W45" s="226"/>
      <c r="X45" s="226"/>
      <c r="Y45" s="201"/>
      <c r="Z45" s="202"/>
      <c r="AA45" s="201"/>
      <c r="AB45" s="201"/>
      <c r="AC45" s="201"/>
      <c r="AD45" s="202"/>
      <c r="AE45" s="202"/>
      <c r="AF45" s="226"/>
      <c r="AG45" s="202"/>
      <c r="AH45" s="226"/>
      <c r="AI45" s="201"/>
      <c r="AJ45" s="202"/>
      <c r="AK45" s="202"/>
      <c r="AL45" s="202"/>
      <c r="AM45" s="226"/>
      <c r="AN45" s="226"/>
      <c r="AO45" s="203"/>
      <c r="AP45" s="201"/>
      <c r="AQ45" s="201"/>
      <c r="AR45" s="202"/>
      <c r="AS45" s="201"/>
      <c r="AT45" s="201"/>
      <c r="AU45" s="202"/>
      <c r="AV45" s="203"/>
      <c r="AW45" s="201"/>
      <c r="AX45" s="201"/>
      <c r="AY45" s="202"/>
      <c r="AZ45" s="202"/>
      <c r="BA45" s="202"/>
      <c r="BB45" s="201"/>
      <c r="BC45" s="201"/>
      <c r="BD45" s="204">
        <v>7500</v>
      </c>
      <c r="BE45" s="220"/>
      <c r="BF45" s="220"/>
      <c r="BG45" s="205">
        <v>1</v>
      </c>
      <c r="BH45" s="206" t="s">
        <v>115</v>
      </c>
      <c r="BI45" s="207"/>
      <c r="BJ45" s="227">
        <v>37.9669140290139</v>
      </c>
      <c r="BK45" s="227">
        <v>21.850323539455111</v>
      </c>
      <c r="BL45" s="227">
        <v>8.7085936961137236</v>
      </c>
      <c r="BM45" s="227">
        <v>6.9126446314867263</v>
      </c>
      <c r="BN45" s="227">
        <v>0.15869003442660801</v>
      </c>
      <c r="BO45" s="227">
        <v>0.12596382984764409</v>
      </c>
      <c r="BP45" s="228">
        <v>4618.9818666210576</v>
      </c>
      <c r="BQ45" s="228">
        <v>3666.4220788577281</v>
      </c>
      <c r="BR45" s="228">
        <v>3308.4744199109368</v>
      </c>
      <c r="BS45" s="239"/>
      <c r="BT45" s="221"/>
      <c r="BU45" s="221"/>
      <c r="BV45" s="211"/>
      <c r="BW45" s="211"/>
      <c r="BX45" s="211"/>
      <c r="BY45" s="211"/>
      <c r="BZ45" s="212"/>
      <c r="CA45" s="213"/>
      <c r="CB45" s="221"/>
      <c r="CC45" s="211"/>
      <c r="CD45" s="211"/>
      <c r="CE45" s="211"/>
      <c r="CF45" s="211"/>
      <c r="CG45" s="214"/>
      <c r="CH45" s="211"/>
      <c r="CI45" s="211"/>
      <c r="CJ45" s="211"/>
      <c r="CK45" s="211"/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K41"/>
  <sheetViews>
    <sheetView zoomScale="79" zoomScaleNormal="70" workbookViewId="0">
      <selection activeCell="E25" sqref="E25:E37"/>
    </sheetView>
  </sheetViews>
  <sheetFormatPr defaultRowHeight="14.4"/>
  <cols>
    <col min="1" max="1" width="6.33203125" style="235" bestFit="1" customWidth="1"/>
    <col min="2" max="2" width="15.33203125" bestFit="1" customWidth="1"/>
    <col min="3" max="3" width="11.44140625" bestFit="1" customWidth="1"/>
    <col min="4" max="4" width="11.77734375" style="247" bestFit="1" customWidth="1"/>
    <col min="5" max="5" width="19.44140625" bestFit="1" customWidth="1"/>
    <col min="6" max="6" width="23" bestFit="1" customWidth="1"/>
    <col min="7" max="7" width="34.44140625" customWidth="1"/>
    <col min="8" max="8" width="24.21875" customWidth="1"/>
    <col min="9" max="9" width="12.21875" bestFit="1" customWidth="1"/>
    <col min="10" max="10" width="15.5546875" customWidth="1"/>
    <col min="11" max="12" width="15.88671875" bestFit="1" customWidth="1"/>
    <col min="13" max="13" width="18.5546875" bestFit="1" customWidth="1"/>
    <col min="14" max="14" width="18.88671875" bestFit="1" customWidth="1"/>
    <col min="15" max="15" width="17.77734375" bestFit="1" customWidth="1"/>
    <col min="16" max="16" width="18.5546875" bestFit="1" customWidth="1"/>
    <col min="17" max="17" width="18.33203125" bestFit="1" customWidth="1"/>
    <col min="18" max="18" width="14.88671875" bestFit="1" customWidth="1"/>
    <col min="19" max="19" width="15.21875" bestFit="1" customWidth="1"/>
    <col min="20" max="20" width="14.77734375" bestFit="1" customWidth="1"/>
    <col min="21" max="21" width="14.44140625" bestFit="1" customWidth="1"/>
    <col min="22" max="22" width="14.5546875" bestFit="1" customWidth="1"/>
    <col min="23" max="24" width="7.21875" bestFit="1" customWidth="1"/>
    <col min="25" max="25" width="11.21875" bestFit="1" customWidth="1"/>
    <col min="26" max="26" width="14" bestFit="1" customWidth="1"/>
    <col min="27" max="27" width="15.77734375" bestFit="1" customWidth="1"/>
    <col min="28" max="28" width="11.44140625" bestFit="1" customWidth="1"/>
    <col min="29" max="29" width="11.5546875" bestFit="1" customWidth="1"/>
    <col min="30" max="30" width="11.44140625" bestFit="1" customWidth="1"/>
    <col min="31" max="31" width="11.5546875" bestFit="1" customWidth="1"/>
    <col min="32" max="33" width="11.44140625" bestFit="1" customWidth="1"/>
    <col min="34" max="34" width="11.77734375" bestFit="1" customWidth="1"/>
    <col min="35" max="35" width="10.77734375" bestFit="1" customWidth="1"/>
    <col min="36" max="36" width="13.21875" bestFit="1" customWidth="1"/>
    <col min="37" max="38" width="9.44140625" bestFit="1" customWidth="1"/>
    <col min="39" max="39" width="13.77734375" bestFit="1" customWidth="1"/>
    <col min="40" max="40" width="10.77734375" bestFit="1" customWidth="1"/>
    <col min="41" max="41" width="11.44140625" bestFit="1" customWidth="1"/>
    <col min="42" max="43" width="11.5546875" bestFit="1" customWidth="1"/>
    <col min="44" max="45" width="11.21875" bestFit="1" customWidth="1"/>
    <col min="46" max="46" width="11.5546875" bestFit="1" customWidth="1"/>
    <col min="47" max="47" width="10.77734375" bestFit="1" customWidth="1"/>
    <col min="48" max="48" width="11.77734375" bestFit="1" customWidth="1"/>
    <col min="49" max="49" width="11.44140625" bestFit="1" customWidth="1"/>
    <col min="50" max="51" width="11.21875" bestFit="1" customWidth="1"/>
    <col min="52" max="52" width="10.5546875" bestFit="1" customWidth="1"/>
    <col min="53" max="54" width="11.44140625" bestFit="1" customWidth="1"/>
    <col min="55" max="55" width="11" bestFit="1" customWidth="1"/>
    <col min="56" max="56" width="9.77734375" bestFit="1" customWidth="1"/>
    <col min="57" max="57" width="6.5546875" bestFit="1" customWidth="1"/>
    <col min="58" max="58" width="6.44140625" bestFit="1" customWidth="1"/>
    <col min="59" max="59" width="10.21875" customWidth="1"/>
    <col min="60" max="60" width="10.44140625" bestFit="1" customWidth="1"/>
    <col min="61" max="61" width="20.21875" bestFit="1" customWidth="1"/>
    <col min="62" max="62" width="10.77734375" bestFit="1" customWidth="1"/>
    <col min="63" max="63" width="9.77734375" bestFit="1" customWidth="1"/>
    <col min="64" max="65" width="12.21875" bestFit="1" customWidth="1"/>
    <col min="66" max="69" width="10.5546875" bestFit="1" customWidth="1"/>
    <col min="70" max="70" width="12" bestFit="1" customWidth="1"/>
    <col min="71" max="76" width="7.44140625" bestFit="1" customWidth="1"/>
    <col min="77" max="77" width="6.21875" bestFit="1" customWidth="1"/>
    <col min="78" max="83" width="7.5546875" bestFit="1" customWidth="1"/>
    <col min="84" max="84" width="8.5546875" bestFit="1" customWidth="1"/>
    <col min="85" max="85" width="9.21875" bestFit="1" customWidth="1"/>
    <col min="86" max="89" width="12.44140625" bestFit="1" customWidth="1"/>
  </cols>
  <sheetData>
    <row r="3" spans="1:89">
      <c r="A3" s="231" t="s">
        <v>0</v>
      </c>
      <c r="B3" s="8" t="s">
        <v>1</v>
      </c>
      <c r="C3" s="8" t="s">
        <v>2</v>
      </c>
      <c r="D3" s="243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11</v>
      </c>
      <c r="L3" s="9" t="s">
        <v>13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25</v>
      </c>
      <c r="X3" s="17" t="s">
        <v>26</v>
      </c>
      <c r="Y3" s="17" t="s">
        <v>28</v>
      </c>
      <c r="Z3" s="17" t="s">
        <v>29</v>
      </c>
      <c r="AA3" s="17" t="s">
        <v>30</v>
      </c>
      <c r="AB3" s="18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7" t="s">
        <v>36</v>
      </c>
      <c r="AH3" s="17" t="s">
        <v>37</v>
      </c>
      <c r="AI3" s="17" t="s">
        <v>38</v>
      </c>
      <c r="AJ3" s="17" t="s">
        <v>39</v>
      </c>
      <c r="AK3" s="30" t="s">
        <v>40</v>
      </c>
      <c r="AL3" s="19" t="s">
        <v>41</v>
      </c>
      <c r="AM3" s="18" t="s">
        <v>42</v>
      </c>
      <c r="AN3" s="17" t="s">
        <v>43</v>
      </c>
      <c r="AO3" s="18" t="s">
        <v>44</v>
      </c>
      <c r="AP3" s="17" t="s">
        <v>45</v>
      </c>
      <c r="AQ3" s="18" t="s">
        <v>46</v>
      </c>
      <c r="AR3" s="18" t="s">
        <v>47</v>
      </c>
      <c r="AS3" s="17" t="s">
        <v>48</v>
      </c>
      <c r="AT3" s="18" t="s">
        <v>49</v>
      </c>
      <c r="AU3" s="18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7" t="s">
        <v>57</v>
      </c>
      <c r="BC3" s="17" t="s">
        <v>59</v>
      </c>
      <c r="BD3" s="8" t="s">
        <v>61</v>
      </c>
      <c r="BE3" s="1" t="s">
        <v>62</v>
      </c>
      <c r="BF3" s="1" t="s">
        <v>64</v>
      </c>
      <c r="BG3" s="8" t="s">
        <v>66</v>
      </c>
      <c r="BH3" s="11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73</v>
      </c>
      <c r="BO3" s="8" t="s">
        <v>74</v>
      </c>
      <c r="BP3" s="10" t="s">
        <v>75</v>
      </c>
      <c r="BQ3" s="10" t="s">
        <v>76</v>
      </c>
      <c r="BR3" s="10" t="s">
        <v>77</v>
      </c>
      <c r="BS3" s="12" t="s">
        <v>78</v>
      </c>
      <c r="BT3" s="12" t="s">
        <v>79</v>
      </c>
      <c r="BU3" s="12" t="s">
        <v>80</v>
      </c>
      <c r="BV3" s="12" t="s">
        <v>81</v>
      </c>
      <c r="BW3" s="12" t="s">
        <v>82</v>
      </c>
      <c r="BX3" s="12" t="s">
        <v>83</v>
      </c>
      <c r="BY3" s="13" t="s">
        <v>84</v>
      </c>
      <c r="BZ3" s="12" t="s">
        <v>85</v>
      </c>
      <c r="CA3" s="12" t="s">
        <v>86</v>
      </c>
      <c r="CB3" s="12" t="s">
        <v>87</v>
      </c>
      <c r="CC3" s="12" t="s">
        <v>88</v>
      </c>
      <c r="CD3" s="12" t="s">
        <v>89</v>
      </c>
      <c r="CE3" s="12" t="s">
        <v>90</v>
      </c>
      <c r="CF3" s="13" t="s">
        <v>91</v>
      </c>
      <c r="CG3" s="14" t="s">
        <v>92</v>
      </c>
      <c r="CH3" s="12" t="s">
        <v>93</v>
      </c>
      <c r="CI3" s="12" t="s">
        <v>94</v>
      </c>
      <c r="CJ3" s="12" t="s">
        <v>95</v>
      </c>
      <c r="CK3" s="12" t="s">
        <v>96</v>
      </c>
    </row>
    <row r="4" spans="1:89">
      <c r="A4" s="236">
        <v>1</v>
      </c>
      <c r="B4" s="33">
        <v>0</v>
      </c>
      <c r="C4" s="144">
        <v>45962</v>
      </c>
      <c r="D4" s="244" t="s">
        <v>97</v>
      </c>
      <c r="E4" s="15" t="s">
        <v>98</v>
      </c>
      <c r="F4" s="85" t="s">
        <v>141</v>
      </c>
      <c r="G4" s="85" t="s">
        <v>145</v>
      </c>
      <c r="H4" s="60" t="s">
        <v>317</v>
      </c>
      <c r="I4" s="85" t="s">
        <v>102</v>
      </c>
      <c r="J4" s="53">
        <v>45959</v>
      </c>
      <c r="K4" s="53">
        <v>45962</v>
      </c>
      <c r="L4" s="53">
        <v>45963.458333333343</v>
      </c>
      <c r="M4" s="35"/>
      <c r="N4" s="35">
        <v>5000</v>
      </c>
      <c r="O4" s="35"/>
      <c r="P4" s="35"/>
      <c r="Q4" s="35">
        <v>35000</v>
      </c>
      <c r="R4" s="35"/>
      <c r="S4" s="35"/>
      <c r="T4" s="35"/>
      <c r="U4" s="35"/>
      <c r="V4" s="35"/>
      <c r="W4" s="35"/>
      <c r="X4" s="35">
        <v>7500</v>
      </c>
      <c r="Y4" s="120"/>
      <c r="Z4" s="22">
        <v>0</v>
      </c>
      <c r="AA4" s="35">
        <v>0</v>
      </c>
      <c r="AB4" s="120"/>
      <c r="AC4" s="35"/>
      <c r="AD4" s="23">
        <v>0</v>
      </c>
      <c r="AE4" s="23">
        <v>0</v>
      </c>
      <c r="AF4" s="35">
        <v>7500</v>
      </c>
      <c r="AG4" s="23">
        <v>0</v>
      </c>
      <c r="AH4" s="35"/>
      <c r="AI4" s="35"/>
      <c r="AJ4" s="23">
        <v>0</v>
      </c>
      <c r="AK4" s="23">
        <v>0</v>
      </c>
      <c r="AL4" s="23">
        <v>0</v>
      </c>
      <c r="AM4" s="120"/>
      <c r="AN4" s="120"/>
      <c r="AO4" s="120"/>
      <c r="AP4" s="120"/>
      <c r="AQ4" s="120"/>
      <c r="AR4" s="23">
        <v>0</v>
      </c>
      <c r="AS4" s="35"/>
      <c r="AT4" s="35"/>
      <c r="AU4" s="23">
        <v>0</v>
      </c>
      <c r="AV4" s="21">
        <v>0</v>
      </c>
      <c r="AW4" s="35"/>
      <c r="AX4" s="35"/>
      <c r="AY4" s="23">
        <v>0</v>
      </c>
      <c r="AZ4" s="23">
        <v>0</v>
      </c>
      <c r="BA4" s="23">
        <v>0</v>
      </c>
      <c r="BB4" s="120"/>
      <c r="BC4" s="21">
        <v>0</v>
      </c>
      <c r="BD4" s="143">
        <v>70000</v>
      </c>
      <c r="BE4" s="119">
        <v>45959</v>
      </c>
      <c r="BF4" s="119">
        <v>45968</v>
      </c>
      <c r="BG4" s="43">
        <v>0.6785714285714286</v>
      </c>
      <c r="BH4" s="95" t="s">
        <v>115</v>
      </c>
      <c r="BI4" s="50"/>
      <c r="BJ4" s="141">
        <v>20.347096630444959</v>
      </c>
      <c r="BK4" s="141">
        <v>12.00419588958643</v>
      </c>
      <c r="BL4" s="141">
        <v>6.7071554694313056</v>
      </c>
      <c r="BM4" s="141">
        <v>6.0226003881928687</v>
      </c>
      <c r="BN4" s="141">
        <v>1.65356513695408</v>
      </c>
      <c r="BO4" s="141">
        <v>1.5440429206096671</v>
      </c>
      <c r="BP4" s="142">
        <v>5962.3021270933141</v>
      </c>
      <c r="BQ4" s="142">
        <v>5421.1630954321354</v>
      </c>
      <c r="BR4" s="142">
        <v>5105.3204742032431</v>
      </c>
      <c r="BS4" s="113">
        <v>-5.8000000000000003E-2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26">
        <v>-0.1226201097928093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20">
        <v>2000</v>
      </c>
      <c r="CH4" s="32">
        <v>0</v>
      </c>
      <c r="CI4" s="32">
        <v>0</v>
      </c>
      <c r="CJ4" s="32">
        <v>0</v>
      </c>
      <c r="CK4" s="32">
        <v>0</v>
      </c>
    </row>
    <row r="5" spans="1:89">
      <c r="A5" s="236">
        <v>2</v>
      </c>
      <c r="B5" s="33">
        <v>0</v>
      </c>
      <c r="C5" s="144">
        <v>45962</v>
      </c>
      <c r="D5" s="244" t="s">
        <v>97</v>
      </c>
      <c r="E5" s="15" t="s">
        <v>98</v>
      </c>
      <c r="F5" s="85" t="s">
        <v>141</v>
      </c>
      <c r="G5" s="85" t="s">
        <v>117</v>
      </c>
      <c r="H5" s="60" t="s">
        <v>318</v>
      </c>
      <c r="I5" s="85" t="s">
        <v>102</v>
      </c>
      <c r="J5" s="53">
        <v>45962</v>
      </c>
      <c r="K5" s="53">
        <v>45963.625</v>
      </c>
      <c r="L5" s="53">
        <v>45965.083333333343</v>
      </c>
      <c r="M5" s="35"/>
      <c r="N5" s="35"/>
      <c r="O5" s="35"/>
      <c r="P5" s="35"/>
      <c r="Q5" s="35">
        <v>7500</v>
      </c>
      <c r="R5" s="35"/>
      <c r="S5" s="35"/>
      <c r="T5" s="35"/>
      <c r="U5" s="35">
        <v>27500</v>
      </c>
      <c r="V5" s="35">
        <v>17500</v>
      </c>
      <c r="W5" s="35"/>
      <c r="X5" s="35">
        <v>15000</v>
      </c>
      <c r="Y5" s="120"/>
      <c r="Z5" s="22">
        <v>0</v>
      </c>
      <c r="AA5" s="35">
        <v>0</v>
      </c>
      <c r="AB5" s="120"/>
      <c r="AC5" s="35">
        <v>7500</v>
      </c>
      <c r="AD5" s="23">
        <v>0</v>
      </c>
      <c r="AE5" s="23">
        <v>0</v>
      </c>
      <c r="AF5" s="35"/>
      <c r="AG5" s="23">
        <v>0</v>
      </c>
      <c r="AH5" s="35"/>
      <c r="AI5" s="35"/>
      <c r="AJ5" s="23">
        <v>0</v>
      </c>
      <c r="AK5" s="23">
        <v>0</v>
      </c>
      <c r="AL5" s="23">
        <v>0</v>
      </c>
      <c r="AM5" s="120"/>
      <c r="AN5" s="120"/>
      <c r="AO5" s="120"/>
      <c r="AP5" s="120"/>
      <c r="AQ5" s="120"/>
      <c r="AR5" s="23">
        <v>0</v>
      </c>
      <c r="AS5" s="35"/>
      <c r="AT5" s="35"/>
      <c r="AU5" s="23">
        <v>0</v>
      </c>
      <c r="AV5" s="21">
        <v>0</v>
      </c>
      <c r="AW5" s="35"/>
      <c r="AX5" s="35"/>
      <c r="AY5" s="23">
        <v>0</v>
      </c>
      <c r="AZ5" s="23">
        <v>0</v>
      </c>
      <c r="BA5" s="23">
        <v>0</v>
      </c>
      <c r="BB5" s="120"/>
      <c r="BC5" s="34">
        <v>0</v>
      </c>
      <c r="BD5" s="143">
        <v>70000</v>
      </c>
      <c r="BE5" s="119">
        <v>45962</v>
      </c>
      <c r="BF5" s="119">
        <v>45971</v>
      </c>
      <c r="BG5" s="43">
        <v>0.71</v>
      </c>
      <c r="BH5" s="95" t="s">
        <v>115</v>
      </c>
      <c r="BI5" s="50"/>
      <c r="BJ5" s="141">
        <v>20.114868471646751</v>
      </c>
      <c r="BK5" s="141">
        <v>12.77639773109907</v>
      </c>
      <c r="BL5" s="141">
        <v>6.067527670743714</v>
      </c>
      <c r="BM5" s="141">
        <v>5.5084176893168628</v>
      </c>
      <c r="BN5" s="141">
        <v>1.8437395773649561</v>
      </c>
      <c r="BO5" s="141">
        <v>1.725779134936833</v>
      </c>
      <c r="BP5" s="142">
        <v>5969.0476995325062</v>
      </c>
      <c r="BQ5" s="142">
        <v>5481.9556103936638</v>
      </c>
      <c r="BR5" s="142">
        <v>5165.5497412684936</v>
      </c>
      <c r="BS5" s="113">
        <v>-0.26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26">
        <v>-0.37992141384864231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20">
        <v>2000.0000000012631</v>
      </c>
      <c r="CH5" s="31">
        <v>0</v>
      </c>
      <c r="CI5" s="31">
        <v>0</v>
      </c>
      <c r="CJ5" s="31">
        <v>0</v>
      </c>
      <c r="CK5" s="31">
        <v>0</v>
      </c>
    </row>
    <row r="6" spans="1:89">
      <c r="A6" s="236">
        <v>3</v>
      </c>
      <c r="B6" s="33">
        <v>0</v>
      </c>
      <c r="C6" s="144">
        <v>45962</v>
      </c>
      <c r="D6" s="244" t="s">
        <v>133</v>
      </c>
      <c r="E6" s="15" t="s">
        <v>98</v>
      </c>
      <c r="F6" s="85" t="s">
        <v>141</v>
      </c>
      <c r="G6" s="85" t="s">
        <v>269</v>
      </c>
      <c r="H6" s="60" t="s">
        <v>319</v>
      </c>
      <c r="I6" s="85" t="s">
        <v>102</v>
      </c>
      <c r="J6" s="53">
        <v>45963</v>
      </c>
      <c r="K6" s="53">
        <v>45965.625</v>
      </c>
      <c r="L6" s="53">
        <v>45967.041666666657</v>
      </c>
      <c r="M6" s="35"/>
      <c r="N6" s="35">
        <v>15000</v>
      </c>
      <c r="O6" s="35"/>
      <c r="P6" s="35"/>
      <c r="Q6" s="35">
        <v>34700</v>
      </c>
      <c r="R6" s="35"/>
      <c r="S6" s="35"/>
      <c r="T6" s="35"/>
      <c r="U6" s="35"/>
      <c r="V6" s="35"/>
      <c r="W6" s="35"/>
      <c r="X6" s="35">
        <v>7500</v>
      </c>
      <c r="Y6" s="120"/>
      <c r="Z6" s="22">
        <v>0</v>
      </c>
      <c r="AA6" s="35">
        <v>0</v>
      </c>
      <c r="AB6" s="120"/>
      <c r="AC6" s="35"/>
      <c r="AD6" s="23">
        <v>0</v>
      </c>
      <c r="AE6" s="23">
        <v>0</v>
      </c>
      <c r="AF6" s="35">
        <v>7500</v>
      </c>
      <c r="AG6" s="23">
        <v>0</v>
      </c>
      <c r="AH6" s="35"/>
      <c r="AI6" s="35">
        <v>5300</v>
      </c>
      <c r="AJ6" s="23">
        <v>0</v>
      </c>
      <c r="AK6" s="23">
        <v>0</v>
      </c>
      <c r="AL6" s="23">
        <v>0</v>
      </c>
      <c r="AM6" s="120"/>
      <c r="AN6" s="120"/>
      <c r="AO6" s="120"/>
      <c r="AP6" s="120"/>
      <c r="AQ6" s="120"/>
      <c r="AR6" s="23">
        <v>0</v>
      </c>
      <c r="AS6" s="35"/>
      <c r="AT6" s="35"/>
      <c r="AU6" s="23">
        <v>0</v>
      </c>
      <c r="AV6" s="21">
        <v>0</v>
      </c>
      <c r="AW6" s="35"/>
      <c r="AX6" s="35"/>
      <c r="AY6" s="23">
        <v>0</v>
      </c>
      <c r="AZ6" s="23">
        <v>0</v>
      </c>
      <c r="BA6" s="23">
        <v>0</v>
      </c>
      <c r="BB6" s="120"/>
      <c r="BC6" s="21">
        <v>0</v>
      </c>
      <c r="BD6" s="143">
        <v>68000</v>
      </c>
      <c r="BE6" s="119">
        <v>45963</v>
      </c>
      <c r="BF6" s="119">
        <v>45972</v>
      </c>
      <c r="BG6" s="43">
        <v>0.55147058823529416</v>
      </c>
      <c r="BH6" s="95" t="s">
        <v>115</v>
      </c>
      <c r="BI6" s="50"/>
      <c r="BJ6" s="141">
        <v>24.2745738705595</v>
      </c>
      <c r="BK6" s="141">
        <v>12.337470085264769</v>
      </c>
      <c r="BL6" s="141">
        <v>5.6008507876135676</v>
      </c>
      <c r="BM6" s="141">
        <v>4.7897040401584787</v>
      </c>
      <c r="BN6" s="141">
        <v>1.293779149774539</v>
      </c>
      <c r="BO6" s="141">
        <v>1.204141354648234</v>
      </c>
      <c r="BP6" s="142">
        <v>6015.3700882350067</v>
      </c>
      <c r="BQ6" s="142">
        <v>5239.4432501268302</v>
      </c>
      <c r="BR6" s="142">
        <v>4903.6442391801656</v>
      </c>
      <c r="BS6" s="113">
        <v>-0.96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26">
        <v>-0.37908246721989208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20">
        <v>1999.999999997018</v>
      </c>
      <c r="CH6" s="32">
        <v>0</v>
      </c>
      <c r="CI6" s="32">
        <v>0</v>
      </c>
      <c r="CJ6" s="32">
        <v>0</v>
      </c>
      <c r="CK6" s="32">
        <v>0</v>
      </c>
    </row>
    <row r="7" spans="1:89">
      <c r="A7" s="236">
        <v>4</v>
      </c>
      <c r="B7" s="33">
        <v>0</v>
      </c>
      <c r="C7" s="144">
        <v>45962</v>
      </c>
      <c r="D7" s="244" t="s">
        <v>97</v>
      </c>
      <c r="E7" s="15" t="s">
        <v>98</v>
      </c>
      <c r="F7" s="85" t="s">
        <v>141</v>
      </c>
      <c r="G7" s="85" t="s">
        <v>128</v>
      </c>
      <c r="H7" s="60" t="s">
        <v>320</v>
      </c>
      <c r="I7" s="85" t="s">
        <v>102</v>
      </c>
      <c r="J7" s="53">
        <v>45964</v>
      </c>
      <c r="K7" s="53">
        <v>45967.1875</v>
      </c>
      <c r="L7" s="53">
        <v>45969.131944444453</v>
      </c>
      <c r="M7" s="35">
        <v>5800</v>
      </c>
      <c r="N7" s="35"/>
      <c r="O7" s="35"/>
      <c r="P7" s="35"/>
      <c r="Q7" s="35">
        <v>0</v>
      </c>
      <c r="R7" s="35">
        <v>54200</v>
      </c>
      <c r="S7" s="35"/>
      <c r="T7" s="35"/>
      <c r="U7" s="35"/>
      <c r="V7" s="35"/>
      <c r="W7" s="35"/>
      <c r="X7" s="35"/>
      <c r="Y7" s="120"/>
      <c r="Z7" s="22">
        <v>0</v>
      </c>
      <c r="AA7" s="35">
        <v>0</v>
      </c>
      <c r="AB7" s="120"/>
      <c r="AC7" s="35"/>
      <c r="AD7" s="23">
        <v>0</v>
      </c>
      <c r="AE7" s="23">
        <v>0</v>
      </c>
      <c r="AF7" s="35"/>
      <c r="AG7" s="23">
        <v>0</v>
      </c>
      <c r="AH7" s="35"/>
      <c r="AI7" s="35"/>
      <c r="AJ7" s="23">
        <v>0</v>
      </c>
      <c r="AK7" s="23">
        <v>0</v>
      </c>
      <c r="AL7" s="23">
        <v>0</v>
      </c>
      <c r="AM7" s="120"/>
      <c r="AN7" s="120"/>
      <c r="AO7" s="120"/>
      <c r="AP7" s="120"/>
      <c r="AQ7" s="120"/>
      <c r="AR7" s="23">
        <v>0</v>
      </c>
      <c r="AS7" s="35"/>
      <c r="AT7" s="35"/>
      <c r="AU7" s="23">
        <v>0</v>
      </c>
      <c r="AV7" s="21">
        <v>0</v>
      </c>
      <c r="AW7" s="35"/>
      <c r="AX7" s="35"/>
      <c r="AY7" s="23">
        <v>0</v>
      </c>
      <c r="AZ7" s="23">
        <v>0</v>
      </c>
      <c r="BA7" s="23">
        <v>0</v>
      </c>
      <c r="BB7" s="120"/>
      <c r="BC7" s="21">
        <v>0</v>
      </c>
      <c r="BD7" s="143">
        <v>70000</v>
      </c>
      <c r="BE7" s="97">
        <v>45964</v>
      </c>
      <c r="BF7" s="97">
        <v>45973</v>
      </c>
      <c r="BG7" s="48">
        <v>0.5714285714285714</v>
      </c>
      <c r="BH7" s="95" t="s">
        <v>115</v>
      </c>
      <c r="BI7" s="50"/>
      <c r="BJ7" s="141">
        <v>27.62672605425821</v>
      </c>
      <c r="BK7" s="141">
        <v>14.5541713456488</v>
      </c>
      <c r="BL7" s="141">
        <v>6.3270347659896116</v>
      </c>
      <c r="BM7" s="141">
        <v>5.2905720687703992</v>
      </c>
      <c r="BN7" s="141">
        <v>1.416401969432993</v>
      </c>
      <c r="BO7" s="141">
        <v>1.319952107409311</v>
      </c>
      <c r="BP7" s="142">
        <v>5688.1716255311148</v>
      </c>
      <c r="BQ7" s="142">
        <v>4855.4674234705963</v>
      </c>
      <c r="BR7" s="142">
        <v>4516.7667014060353</v>
      </c>
      <c r="BS7" s="113">
        <v>-0.90332607201747395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26">
        <v>-1.98614571259773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20">
        <v>1800.000000001233</v>
      </c>
      <c r="CH7" s="31">
        <v>0</v>
      </c>
      <c r="CI7" s="31">
        <v>0</v>
      </c>
      <c r="CJ7" s="31">
        <v>0</v>
      </c>
      <c r="CK7" s="31">
        <v>0</v>
      </c>
    </row>
    <row r="8" spans="1:89">
      <c r="A8" s="236">
        <v>5</v>
      </c>
      <c r="B8" s="33">
        <v>0</v>
      </c>
      <c r="C8" s="144">
        <v>45962</v>
      </c>
      <c r="D8" s="244" t="s">
        <v>97</v>
      </c>
      <c r="E8" s="15" t="s">
        <v>98</v>
      </c>
      <c r="F8" s="85" t="s">
        <v>141</v>
      </c>
      <c r="G8" s="85" t="s">
        <v>321</v>
      </c>
      <c r="H8" s="60" t="s">
        <v>322</v>
      </c>
      <c r="I8" s="85" t="s">
        <v>102</v>
      </c>
      <c r="J8" s="53">
        <v>45966</v>
      </c>
      <c r="K8" s="53">
        <v>45969.298611111109</v>
      </c>
      <c r="L8" s="53">
        <v>45970.861111111109</v>
      </c>
      <c r="M8" s="35">
        <v>16000</v>
      </c>
      <c r="N8" s="35"/>
      <c r="O8" s="35"/>
      <c r="P8" s="35">
        <v>5900</v>
      </c>
      <c r="Q8" s="35">
        <v>20300</v>
      </c>
      <c r="R8" s="35"/>
      <c r="S8" s="35"/>
      <c r="T8" s="35"/>
      <c r="U8" s="35">
        <v>15000</v>
      </c>
      <c r="V8" s="35"/>
      <c r="W8" s="35"/>
      <c r="X8" s="35"/>
      <c r="Y8" s="120">
        <v>7500</v>
      </c>
      <c r="Z8" s="22">
        <v>0</v>
      </c>
      <c r="AA8" s="35">
        <v>7500</v>
      </c>
      <c r="AB8" s="120"/>
      <c r="AC8" s="35"/>
      <c r="AD8" s="23">
        <v>0</v>
      </c>
      <c r="AE8" s="23">
        <v>0</v>
      </c>
      <c r="AF8" s="35"/>
      <c r="AG8" s="23">
        <v>0</v>
      </c>
      <c r="AH8" s="35"/>
      <c r="AI8" s="35">
        <v>5300</v>
      </c>
      <c r="AJ8" s="23">
        <v>0</v>
      </c>
      <c r="AK8" s="23">
        <v>0</v>
      </c>
      <c r="AL8" s="23">
        <v>0</v>
      </c>
      <c r="AM8" s="120"/>
      <c r="AN8" s="120"/>
      <c r="AO8" s="120"/>
      <c r="AP8" s="120"/>
      <c r="AQ8" s="120"/>
      <c r="AR8" s="23">
        <v>0</v>
      </c>
      <c r="AS8" s="35"/>
      <c r="AT8" s="35"/>
      <c r="AU8" s="23">
        <v>0</v>
      </c>
      <c r="AV8" s="21">
        <v>0</v>
      </c>
      <c r="AW8" s="35"/>
      <c r="AX8" s="35"/>
      <c r="AY8" s="23">
        <v>0</v>
      </c>
      <c r="AZ8" s="23">
        <v>0</v>
      </c>
      <c r="BA8" s="23">
        <v>0</v>
      </c>
      <c r="BB8" s="120"/>
      <c r="BC8" s="21">
        <v>0</v>
      </c>
      <c r="BD8" s="143">
        <v>75000</v>
      </c>
      <c r="BE8" s="119">
        <v>45966</v>
      </c>
      <c r="BF8" s="119">
        <v>45975</v>
      </c>
      <c r="BG8" s="48">
        <v>0.66266666666666663</v>
      </c>
      <c r="BH8" s="95" t="s">
        <v>115</v>
      </c>
      <c r="BI8" s="50"/>
      <c r="BJ8" s="141">
        <v>21.22069347854546</v>
      </c>
      <c r="BK8" s="141">
        <v>11.78039991518933</v>
      </c>
      <c r="BL8" s="141">
        <v>5.4370254175437376</v>
      </c>
      <c r="BM8" s="141">
        <v>4.8765420327511553</v>
      </c>
      <c r="BN8" s="141">
        <v>1.7597292923803149</v>
      </c>
      <c r="BO8" s="141">
        <v>1.647680435252987</v>
      </c>
      <c r="BP8" s="142">
        <v>6091.4347680722176</v>
      </c>
      <c r="BQ8" s="142">
        <v>5462.5855125950266</v>
      </c>
      <c r="BR8" s="142">
        <v>5140.3306100398204</v>
      </c>
      <c r="BS8" s="113">
        <v>0.25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26">
        <v>-0.1219396100789059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20">
        <v>1799.999999997905</v>
      </c>
      <c r="CH8" s="32">
        <v>0</v>
      </c>
      <c r="CI8" s="32">
        <v>0</v>
      </c>
      <c r="CJ8" s="32">
        <v>0</v>
      </c>
      <c r="CK8" s="32">
        <v>0</v>
      </c>
    </row>
    <row r="9" spans="1:89">
      <c r="A9" s="236">
        <v>6</v>
      </c>
      <c r="B9" s="33">
        <v>0</v>
      </c>
      <c r="C9" s="144">
        <v>45962</v>
      </c>
      <c r="D9" s="244" t="s">
        <v>155</v>
      </c>
      <c r="E9" s="15" t="s">
        <v>98</v>
      </c>
      <c r="F9" s="85" t="s">
        <v>141</v>
      </c>
      <c r="G9" s="85" t="s">
        <v>323</v>
      </c>
      <c r="H9" s="60" t="s">
        <v>324</v>
      </c>
      <c r="I9" s="85" t="s">
        <v>102</v>
      </c>
      <c r="J9" s="53">
        <v>45968</v>
      </c>
      <c r="K9" s="53">
        <v>45971.215277777781</v>
      </c>
      <c r="L9" s="53">
        <v>45973.159722222219</v>
      </c>
      <c r="M9" s="35"/>
      <c r="N9" s="35"/>
      <c r="O9" s="35"/>
      <c r="P9" s="35"/>
      <c r="Q9" s="35">
        <v>65000</v>
      </c>
      <c r="R9" s="35"/>
      <c r="S9" s="35"/>
      <c r="T9" s="35"/>
      <c r="U9" s="35"/>
      <c r="V9" s="35"/>
      <c r="W9" s="35"/>
      <c r="X9" s="35"/>
      <c r="Y9" s="120"/>
      <c r="Z9" s="22">
        <v>0</v>
      </c>
      <c r="AA9" s="35">
        <v>0</v>
      </c>
      <c r="AB9" s="120"/>
      <c r="AC9" s="35"/>
      <c r="AD9" s="23">
        <v>0</v>
      </c>
      <c r="AE9" s="23">
        <v>0</v>
      </c>
      <c r="AF9" s="35"/>
      <c r="AG9" s="23">
        <v>0</v>
      </c>
      <c r="AH9" s="35"/>
      <c r="AI9" s="35"/>
      <c r="AJ9" s="23">
        <v>0</v>
      </c>
      <c r="AK9" s="23">
        <v>0</v>
      </c>
      <c r="AL9" s="23">
        <v>0</v>
      </c>
      <c r="AM9" s="120"/>
      <c r="AN9" s="120"/>
      <c r="AO9" s="120"/>
      <c r="AP9" s="120"/>
      <c r="AQ9" s="120"/>
      <c r="AR9" s="23">
        <v>0</v>
      </c>
      <c r="AS9" s="35">
        <v>5000</v>
      </c>
      <c r="AT9" s="35"/>
      <c r="AU9" s="23">
        <v>0</v>
      </c>
      <c r="AV9" s="21">
        <v>0</v>
      </c>
      <c r="AW9" s="35"/>
      <c r="AX9" s="35"/>
      <c r="AY9" s="23">
        <v>0</v>
      </c>
      <c r="AZ9" s="23">
        <v>0</v>
      </c>
      <c r="BA9" s="23">
        <v>0</v>
      </c>
      <c r="BB9" s="120"/>
      <c r="BC9" s="21">
        <v>0</v>
      </c>
      <c r="BD9" s="143">
        <v>70000</v>
      </c>
      <c r="BE9" s="119">
        <v>45968</v>
      </c>
      <c r="BF9" s="119">
        <v>45977</v>
      </c>
      <c r="BG9" s="43">
        <v>0.1785714285714286</v>
      </c>
      <c r="BH9" s="95" t="s">
        <v>115</v>
      </c>
      <c r="BI9" s="50"/>
      <c r="BJ9" s="141">
        <v>28.498690607073751</v>
      </c>
      <c r="BK9" s="141">
        <v>15.11616488656197</v>
      </c>
      <c r="BL9" s="141">
        <v>5.7376896339086736</v>
      </c>
      <c r="BM9" s="141">
        <v>4.7256807669790506</v>
      </c>
      <c r="BN9" s="141">
        <v>0.80007554385642998</v>
      </c>
      <c r="BO9" s="141">
        <v>0.74005157255742349</v>
      </c>
      <c r="BP9" s="142">
        <v>5671.4814062808846</v>
      </c>
      <c r="BQ9" s="142">
        <v>4826.7536560548879</v>
      </c>
      <c r="BR9" s="142">
        <v>4483.7244129469436</v>
      </c>
      <c r="BS9" s="113">
        <v>0.73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26">
        <v>-0.27729675293729611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20">
        <v>1500.0000000006719</v>
      </c>
      <c r="CH9" s="31">
        <v>0</v>
      </c>
      <c r="CI9" s="31">
        <v>0</v>
      </c>
      <c r="CJ9" s="31">
        <v>0</v>
      </c>
      <c r="CK9" s="31">
        <v>0</v>
      </c>
    </row>
    <row r="10" spans="1:89">
      <c r="A10" s="236">
        <v>7</v>
      </c>
      <c r="B10" s="33">
        <v>0</v>
      </c>
      <c r="C10" s="144">
        <v>45962</v>
      </c>
      <c r="D10" s="244" t="s">
        <v>97</v>
      </c>
      <c r="E10" s="15" t="s">
        <v>98</v>
      </c>
      <c r="F10" s="85" t="s">
        <v>141</v>
      </c>
      <c r="G10" s="85" t="s">
        <v>145</v>
      </c>
      <c r="H10" s="60" t="s">
        <v>325</v>
      </c>
      <c r="I10" s="85" t="s">
        <v>102</v>
      </c>
      <c r="J10" s="53">
        <v>45970</v>
      </c>
      <c r="K10" s="53">
        <v>45973.347222222219</v>
      </c>
      <c r="L10" s="53">
        <v>45974.805555555547</v>
      </c>
      <c r="M10" s="35"/>
      <c r="N10" s="35"/>
      <c r="O10" s="35"/>
      <c r="P10" s="35"/>
      <c r="Q10" s="35">
        <v>30000</v>
      </c>
      <c r="R10" s="35"/>
      <c r="S10" s="35"/>
      <c r="T10" s="35"/>
      <c r="U10" s="35"/>
      <c r="V10" s="35"/>
      <c r="W10" s="35"/>
      <c r="X10" s="35"/>
      <c r="Y10" s="120"/>
      <c r="Z10" s="22">
        <v>0</v>
      </c>
      <c r="AA10" s="35">
        <v>0</v>
      </c>
      <c r="AB10" s="120">
        <v>15000</v>
      </c>
      <c r="AC10" s="35"/>
      <c r="AD10" s="23">
        <v>0</v>
      </c>
      <c r="AE10" s="23">
        <v>0</v>
      </c>
      <c r="AF10" s="35"/>
      <c r="AG10" s="23">
        <v>0</v>
      </c>
      <c r="AH10" s="35"/>
      <c r="AI10" s="35"/>
      <c r="AJ10" s="23">
        <v>0</v>
      </c>
      <c r="AK10" s="23">
        <v>0</v>
      </c>
      <c r="AL10" s="23">
        <v>0</v>
      </c>
      <c r="AM10" s="120"/>
      <c r="AN10" s="120"/>
      <c r="AO10" s="120"/>
      <c r="AP10" s="120">
        <v>5000</v>
      </c>
      <c r="AQ10" s="120"/>
      <c r="AR10" s="23">
        <v>0</v>
      </c>
      <c r="AS10" s="35">
        <v>5000</v>
      </c>
      <c r="AT10" s="35"/>
      <c r="AU10" s="23">
        <v>0</v>
      </c>
      <c r="AV10" s="21">
        <v>0</v>
      </c>
      <c r="AW10" s="35"/>
      <c r="AX10" s="35"/>
      <c r="AY10" s="23">
        <v>0</v>
      </c>
      <c r="AZ10" s="23">
        <v>0</v>
      </c>
      <c r="BA10" s="23">
        <v>0</v>
      </c>
      <c r="BB10" s="120"/>
      <c r="BC10" s="21">
        <v>0</v>
      </c>
      <c r="BD10" s="143">
        <v>70000</v>
      </c>
      <c r="BE10" s="119">
        <v>45970</v>
      </c>
      <c r="BF10" s="119">
        <v>45979</v>
      </c>
      <c r="BG10" s="48">
        <v>0.60285714285714287</v>
      </c>
      <c r="BH10" s="95" t="s">
        <v>115</v>
      </c>
      <c r="BI10" s="50"/>
      <c r="BJ10" s="141">
        <v>20.715022224176199</v>
      </c>
      <c r="BK10" s="141">
        <v>13.23806309360109</v>
      </c>
      <c r="BL10" s="141">
        <v>6.2830702981965967</v>
      </c>
      <c r="BM10" s="141">
        <v>5.6743976133813634</v>
      </c>
      <c r="BN10" s="141">
        <v>1.7056802330945029</v>
      </c>
      <c r="BO10" s="141">
        <v>1.601001978255034</v>
      </c>
      <c r="BP10" s="142">
        <v>5921.146195920318</v>
      </c>
      <c r="BQ10" s="142">
        <v>5430.1634040763392</v>
      </c>
      <c r="BR10" s="142">
        <v>5113.1627248366758</v>
      </c>
      <c r="BS10" s="113">
        <v>0.51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26">
        <v>-0.81479675293812759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20">
        <v>1800</v>
      </c>
      <c r="CH10" s="32">
        <v>0</v>
      </c>
      <c r="CI10" s="32">
        <v>0</v>
      </c>
      <c r="CJ10" s="32">
        <v>0</v>
      </c>
      <c r="CK10" s="32">
        <v>0</v>
      </c>
    </row>
    <row r="11" spans="1:89">
      <c r="A11" s="236">
        <v>8</v>
      </c>
      <c r="B11" s="33">
        <v>0</v>
      </c>
      <c r="C11" s="144">
        <v>45962</v>
      </c>
      <c r="D11" s="244" t="s">
        <v>148</v>
      </c>
      <c r="E11" s="15" t="s">
        <v>98</v>
      </c>
      <c r="F11" s="85" t="s">
        <v>141</v>
      </c>
      <c r="G11" s="85" t="s">
        <v>135</v>
      </c>
      <c r="H11" s="60" t="s">
        <v>326</v>
      </c>
      <c r="I11" s="85" t="s">
        <v>102</v>
      </c>
      <c r="J11" s="53">
        <v>45973</v>
      </c>
      <c r="K11" s="53">
        <v>45975.034722222219</v>
      </c>
      <c r="L11" s="53">
        <v>45975.930555555547</v>
      </c>
      <c r="M11" s="35">
        <v>9000</v>
      </c>
      <c r="N11" s="35">
        <v>7000</v>
      </c>
      <c r="O11" s="35"/>
      <c r="P11" s="35"/>
      <c r="Q11" s="35">
        <v>30700</v>
      </c>
      <c r="R11" s="35"/>
      <c r="S11" s="35"/>
      <c r="T11" s="35"/>
      <c r="U11" s="35">
        <v>7500</v>
      </c>
      <c r="V11" s="35"/>
      <c r="W11" s="35"/>
      <c r="X11" s="35"/>
      <c r="Y11" s="120"/>
      <c r="Z11" s="22">
        <v>0</v>
      </c>
      <c r="AA11" s="35">
        <v>0</v>
      </c>
      <c r="AB11" s="120"/>
      <c r="AC11" s="35"/>
      <c r="AD11" s="23">
        <v>0</v>
      </c>
      <c r="AE11" s="23">
        <v>0</v>
      </c>
      <c r="AF11" s="35"/>
      <c r="AG11" s="23">
        <v>0</v>
      </c>
      <c r="AH11" s="35">
        <v>5300</v>
      </c>
      <c r="AI11" s="35"/>
      <c r="AJ11" s="23">
        <v>0</v>
      </c>
      <c r="AK11" s="23">
        <v>0</v>
      </c>
      <c r="AL11" s="23">
        <v>0</v>
      </c>
      <c r="AM11" s="120">
        <v>7500</v>
      </c>
      <c r="AN11" s="120"/>
      <c r="AO11" s="120"/>
      <c r="AP11" s="120"/>
      <c r="AQ11" s="120"/>
      <c r="AR11" s="23">
        <v>0</v>
      </c>
      <c r="AS11" s="35"/>
      <c r="AT11" s="35"/>
      <c r="AU11" s="23">
        <v>0</v>
      </c>
      <c r="AV11" s="21">
        <v>0</v>
      </c>
      <c r="AW11" s="35"/>
      <c r="AX11" s="35"/>
      <c r="AY11" s="23">
        <v>0</v>
      </c>
      <c r="AZ11" s="23">
        <v>0</v>
      </c>
      <c r="BA11" s="23">
        <v>0</v>
      </c>
      <c r="BB11" s="120"/>
      <c r="BC11" s="21">
        <v>0</v>
      </c>
      <c r="BD11" s="143">
        <v>43000</v>
      </c>
      <c r="BE11" s="119">
        <v>45973</v>
      </c>
      <c r="BF11" s="119">
        <v>45982</v>
      </c>
      <c r="BG11" s="43">
        <v>0.69767441860465118</v>
      </c>
      <c r="BH11" s="95" t="s">
        <v>115</v>
      </c>
      <c r="BI11" s="50"/>
      <c r="BJ11" s="141">
        <v>15.42979590400499</v>
      </c>
      <c r="BK11" s="141">
        <v>8.3268975895358288</v>
      </c>
      <c r="BL11" s="141">
        <v>5.5990100803019596</v>
      </c>
      <c r="BM11" s="141">
        <v>5.1197620311169416</v>
      </c>
      <c r="BN11" s="141">
        <v>0.84363401868138876</v>
      </c>
      <c r="BO11" s="141">
        <v>0.78187320617761247</v>
      </c>
      <c r="BP11" s="142">
        <v>6641.439640433272</v>
      </c>
      <c r="BQ11" s="142">
        <v>6140.6172522713869</v>
      </c>
      <c r="BR11" s="142">
        <v>5838.7182912238204</v>
      </c>
      <c r="BS11" s="113">
        <v>0.86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26">
        <v>-0.74829511501128709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20">
        <v>1800</v>
      </c>
      <c r="CH11" s="31">
        <v>0</v>
      </c>
      <c r="CI11" s="31">
        <v>0</v>
      </c>
      <c r="CJ11" s="31">
        <v>0</v>
      </c>
      <c r="CK11" s="31">
        <v>0</v>
      </c>
    </row>
    <row r="12" spans="1:89">
      <c r="A12" s="236">
        <v>9</v>
      </c>
      <c r="B12" s="33">
        <v>0</v>
      </c>
      <c r="C12" s="144">
        <v>45962</v>
      </c>
      <c r="D12" s="244" t="s">
        <v>97</v>
      </c>
      <c r="E12" s="15" t="s">
        <v>98</v>
      </c>
      <c r="F12" s="85" t="s">
        <v>141</v>
      </c>
      <c r="G12" s="85" t="s">
        <v>327</v>
      </c>
      <c r="H12" s="60" t="s">
        <v>328</v>
      </c>
      <c r="I12" s="85" t="s">
        <v>102</v>
      </c>
      <c r="J12" s="53">
        <v>45974</v>
      </c>
      <c r="K12" s="53">
        <v>45976.083333333343</v>
      </c>
      <c r="L12" s="53">
        <v>45977.229166666657</v>
      </c>
      <c r="M12" s="35">
        <v>40000</v>
      </c>
      <c r="N12" s="35"/>
      <c r="O12" s="35"/>
      <c r="P12" s="35"/>
      <c r="Q12" s="35"/>
      <c r="R12" s="35"/>
      <c r="S12" s="35"/>
      <c r="T12" s="35"/>
      <c r="U12" s="35">
        <v>7500</v>
      </c>
      <c r="V12" s="35"/>
      <c r="W12" s="35"/>
      <c r="X12" s="35"/>
      <c r="Y12" s="120"/>
      <c r="Z12" s="22">
        <v>0</v>
      </c>
      <c r="AA12" s="35">
        <v>0</v>
      </c>
      <c r="AB12" s="120"/>
      <c r="AC12" s="35"/>
      <c r="AD12" s="23">
        <v>0</v>
      </c>
      <c r="AE12" s="23">
        <v>0</v>
      </c>
      <c r="AF12" s="35"/>
      <c r="AG12" s="23">
        <v>0</v>
      </c>
      <c r="AH12" s="35"/>
      <c r="AI12" s="35"/>
      <c r="AJ12" s="23">
        <v>0</v>
      </c>
      <c r="AK12" s="23">
        <v>0</v>
      </c>
      <c r="AL12" s="23">
        <v>0</v>
      </c>
      <c r="AM12" s="120"/>
      <c r="AN12" s="120"/>
      <c r="AO12" s="120"/>
      <c r="AP12" s="120"/>
      <c r="AQ12" s="120"/>
      <c r="AR12" s="23">
        <v>0</v>
      </c>
      <c r="AS12" s="35"/>
      <c r="AT12" s="35"/>
      <c r="AU12" s="23">
        <v>0</v>
      </c>
      <c r="AV12" s="21">
        <v>0</v>
      </c>
      <c r="AW12" s="35"/>
      <c r="AX12" s="35"/>
      <c r="AY12" s="23">
        <v>0</v>
      </c>
      <c r="AZ12" s="23">
        <v>0</v>
      </c>
      <c r="BA12" s="23">
        <v>0</v>
      </c>
      <c r="BB12" s="120"/>
      <c r="BC12" s="21">
        <v>0</v>
      </c>
      <c r="BD12" s="143">
        <v>55000</v>
      </c>
      <c r="BE12" s="97">
        <v>45974</v>
      </c>
      <c r="BF12" s="97">
        <v>45983</v>
      </c>
      <c r="BG12" s="57">
        <v>1</v>
      </c>
      <c r="BH12" s="95" t="s">
        <v>115</v>
      </c>
      <c r="BI12" s="50"/>
      <c r="BJ12" s="141">
        <v>15.48395782108588</v>
      </c>
      <c r="BK12" s="141">
        <v>10.48395782108588</v>
      </c>
      <c r="BL12" s="141">
        <v>5.7284358650529086</v>
      </c>
      <c r="BM12" s="141">
        <v>5.4084688666458751</v>
      </c>
      <c r="BN12" s="141">
        <v>2.3504710860699922</v>
      </c>
      <c r="BO12" s="141">
        <v>2.2191833845107478</v>
      </c>
      <c r="BP12" s="142">
        <v>6283.0611570054643</v>
      </c>
      <c r="BQ12" s="142">
        <v>5932.1150581795337</v>
      </c>
      <c r="BR12" s="142">
        <v>5629.7245782307382</v>
      </c>
      <c r="BS12" s="113">
        <v>1.7367836532527601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26">
        <v>-1.1052685174931249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20">
        <v>1800</v>
      </c>
      <c r="CH12" s="32">
        <v>0</v>
      </c>
      <c r="CI12" s="32">
        <v>0</v>
      </c>
      <c r="CJ12" s="32">
        <v>0</v>
      </c>
      <c r="CK12" s="32">
        <v>0</v>
      </c>
    </row>
    <row r="13" spans="1:89">
      <c r="A13" s="236">
        <v>10</v>
      </c>
      <c r="B13" s="33">
        <v>0</v>
      </c>
      <c r="C13" s="144">
        <v>45962</v>
      </c>
      <c r="D13" s="244" t="s">
        <v>97</v>
      </c>
      <c r="E13" s="15" t="s">
        <v>98</v>
      </c>
      <c r="F13" s="85" t="s">
        <v>141</v>
      </c>
      <c r="G13" s="85" t="s">
        <v>128</v>
      </c>
      <c r="H13" s="60" t="s">
        <v>329</v>
      </c>
      <c r="I13" s="85" t="s">
        <v>102</v>
      </c>
      <c r="J13" s="53">
        <v>45975</v>
      </c>
      <c r="K13" s="53">
        <v>45977.5</v>
      </c>
      <c r="L13" s="53">
        <v>45979.444444444453</v>
      </c>
      <c r="M13" s="35">
        <v>3000</v>
      </c>
      <c r="N13" s="35"/>
      <c r="O13" s="35"/>
      <c r="P13" s="35"/>
      <c r="Q13" s="35">
        <v>0</v>
      </c>
      <c r="R13" s="35">
        <v>63000</v>
      </c>
      <c r="S13" s="35"/>
      <c r="T13" s="35"/>
      <c r="U13" s="35">
        <v>7500</v>
      </c>
      <c r="V13" s="35"/>
      <c r="W13" s="35"/>
      <c r="X13" s="35"/>
      <c r="Y13" s="120"/>
      <c r="Z13" s="22">
        <v>0</v>
      </c>
      <c r="AA13" s="35">
        <v>0</v>
      </c>
      <c r="AB13" s="120"/>
      <c r="AC13" s="35"/>
      <c r="AD13" s="23">
        <v>0</v>
      </c>
      <c r="AE13" s="23">
        <v>0</v>
      </c>
      <c r="AF13" s="35"/>
      <c r="AG13" s="23">
        <v>0</v>
      </c>
      <c r="AH13" s="35"/>
      <c r="AI13" s="35"/>
      <c r="AJ13" s="23">
        <v>0</v>
      </c>
      <c r="AK13" s="23">
        <v>0</v>
      </c>
      <c r="AL13" s="23">
        <v>0</v>
      </c>
      <c r="AM13" s="120"/>
      <c r="AN13" s="120"/>
      <c r="AO13" s="120"/>
      <c r="AP13" s="120"/>
      <c r="AQ13" s="120"/>
      <c r="AR13" s="23">
        <v>0</v>
      </c>
      <c r="AS13" s="35"/>
      <c r="AT13" s="35"/>
      <c r="AU13" s="23">
        <v>0</v>
      </c>
      <c r="AV13" s="21">
        <v>0</v>
      </c>
      <c r="AW13" s="35"/>
      <c r="AX13" s="35"/>
      <c r="AY13" s="23">
        <v>0</v>
      </c>
      <c r="AZ13" s="23">
        <v>0</v>
      </c>
      <c r="BA13" s="23">
        <v>0</v>
      </c>
      <c r="BB13" s="120"/>
      <c r="BC13" s="21">
        <v>0</v>
      </c>
      <c r="BD13" s="143">
        <v>70000</v>
      </c>
      <c r="BE13" s="119">
        <v>45975</v>
      </c>
      <c r="BF13" s="119">
        <v>45984</v>
      </c>
      <c r="BG13" s="48">
        <v>0.5714285714285714</v>
      </c>
      <c r="BH13" s="95" t="s">
        <v>115</v>
      </c>
      <c r="BI13" s="50"/>
      <c r="BJ13" s="141">
        <v>23.862079612856199</v>
      </c>
      <c r="BK13" s="141">
        <v>14.99581136437444</v>
      </c>
      <c r="BL13" s="141">
        <v>10.003150729361209</v>
      </c>
      <c r="BM13" s="141">
        <v>9.0171799661230807</v>
      </c>
      <c r="BN13" s="141">
        <v>1.5404780413416299</v>
      </c>
      <c r="BO13" s="141">
        <v>1.4465597390913121</v>
      </c>
      <c r="BP13" s="142">
        <v>5492.7548475340782</v>
      </c>
      <c r="BQ13" s="142">
        <v>4942.677767240054</v>
      </c>
      <c r="BR13" s="142">
        <v>4621.0497276818269</v>
      </c>
      <c r="BS13" s="113">
        <v>7.4999999999999997E-2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26">
        <v>-0.5689714065815622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20">
        <v>2000</v>
      </c>
      <c r="CH13" s="31">
        <v>0.35764891244269242</v>
      </c>
      <c r="CI13" s="31">
        <v>-0.75374756418047939</v>
      </c>
      <c r="CJ13" s="31">
        <v>-0.65980850589965079</v>
      </c>
      <c r="CK13" s="31">
        <v>-0.69202352941171297</v>
      </c>
    </row>
    <row r="14" spans="1:89">
      <c r="A14" s="236">
        <v>11</v>
      </c>
      <c r="B14" s="33">
        <v>0</v>
      </c>
      <c r="C14" s="144">
        <v>45962</v>
      </c>
      <c r="D14" s="244" t="s">
        <v>133</v>
      </c>
      <c r="E14" s="15" t="s">
        <v>98</v>
      </c>
      <c r="F14" s="85" t="s">
        <v>141</v>
      </c>
      <c r="G14" s="85" t="s">
        <v>269</v>
      </c>
      <c r="H14" s="60" t="s">
        <v>330</v>
      </c>
      <c r="I14" s="85" t="s">
        <v>102</v>
      </c>
      <c r="J14" s="53">
        <v>45977</v>
      </c>
      <c r="K14" s="53">
        <v>45980</v>
      </c>
      <c r="L14" s="53">
        <v>45981.416666666657</v>
      </c>
      <c r="M14" s="35">
        <v>9000</v>
      </c>
      <c r="N14" s="35">
        <v>3000</v>
      </c>
      <c r="O14" s="35"/>
      <c r="P14" s="35"/>
      <c r="Q14" s="35">
        <v>36900</v>
      </c>
      <c r="R14" s="35"/>
      <c r="S14" s="35"/>
      <c r="T14" s="35"/>
      <c r="U14" s="35">
        <v>7500</v>
      </c>
      <c r="V14" s="35"/>
      <c r="W14" s="35"/>
      <c r="X14" s="35"/>
      <c r="Y14" s="120"/>
      <c r="Z14" s="22">
        <v>0</v>
      </c>
      <c r="AA14" s="35">
        <v>0</v>
      </c>
      <c r="AB14" s="120"/>
      <c r="AC14" s="35"/>
      <c r="AD14" s="23">
        <v>0</v>
      </c>
      <c r="AE14" s="23">
        <v>0</v>
      </c>
      <c r="AF14" s="35"/>
      <c r="AG14" s="23">
        <v>0</v>
      </c>
      <c r="AH14" s="35"/>
      <c r="AI14" s="35">
        <v>5300</v>
      </c>
      <c r="AJ14" s="23">
        <v>0</v>
      </c>
      <c r="AK14" s="23">
        <v>0</v>
      </c>
      <c r="AL14" s="23">
        <v>0</v>
      </c>
      <c r="AM14" s="120"/>
      <c r="AN14" s="120"/>
      <c r="AO14" s="120">
        <v>5300</v>
      </c>
      <c r="AP14" s="120"/>
      <c r="AQ14" s="120"/>
      <c r="AR14" s="23">
        <v>0</v>
      </c>
      <c r="AS14" s="35"/>
      <c r="AT14" s="35"/>
      <c r="AU14" s="23">
        <v>0</v>
      </c>
      <c r="AV14" s="21">
        <v>0</v>
      </c>
      <c r="AW14" s="35"/>
      <c r="AX14" s="35"/>
      <c r="AY14" s="23">
        <v>0</v>
      </c>
      <c r="AZ14" s="23">
        <v>0</v>
      </c>
      <c r="BA14" s="23">
        <v>0</v>
      </c>
      <c r="BB14" s="120"/>
      <c r="BC14" s="21">
        <v>0</v>
      </c>
      <c r="BD14" s="143">
        <v>68000</v>
      </c>
      <c r="BE14" s="119">
        <v>45977</v>
      </c>
      <c r="BF14" s="119">
        <v>45986</v>
      </c>
      <c r="BG14" s="43">
        <v>0.58382352941176474</v>
      </c>
      <c r="BH14" s="95" t="s">
        <v>115</v>
      </c>
      <c r="BI14" s="50"/>
      <c r="BJ14" s="141">
        <v>23.741637288845268</v>
      </c>
      <c r="BK14" s="141">
        <v>12.74356251234202</v>
      </c>
      <c r="BL14" s="141">
        <v>5.2464793585017109</v>
      </c>
      <c r="BM14" s="141">
        <v>4.5420195488009556</v>
      </c>
      <c r="BN14" s="141">
        <v>1.2479949205086831</v>
      </c>
      <c r="BO14" s="141">
        <v>1.156998315335775</v>
      </c>
      <c r="BP14" s="142">
        <v>5993.1484081206663</v>
      </c>
      <c r="BQ14" s="142">
        <v>5270.9660169849731</v>
      </c>
      <c r="BR14" s="142">
        <v>4931.6556138218484</v>
      </c>
      <c r="BS14" s="114">
        <v>0.69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26">
        <v>-0.65875412592733185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20">
        <v>2000</v>
      </c>
      <c r="CH14" s="32">
        <v>0</v>
      </c>
      <c r="CI14" s="32">
        <v>0</v>
      </c>
      <c r="CJ14" s="32">
        <v>0</v>
      </c>
      <c r="CK14" s="32">
        <v>0</v>
      </c>
    </row>
    <row r="15" spans="1:89">
      <c r="A15" s="236">
        <v>12</v>
      </c>
      <c r="B15" s="33">
        <v>0</v>
      </c>
      <c r="C15" s="145">
        <v>45962</v>
      </c>
      <c r="D15" s="244" t="s">
        <v>97</v>
      </c>
      <c r="E15" s="15" t="s">
        <v>98</v>
      </c>
      <c r="F15" s="85" t="s">
        <v>141</v>
      </c>
      <c r="G15" s="85" t="s">
        <v>175</v>
      </c>
      <c r="H15" s="60" t="s">
        <v>331</v>
      </c>
      <c r="I15" s="85" t="s">
        <v>102</v>
      </c>
      <c r="J15" s="53">
        <v>45979</v>
      </c>
      <c r="K15" s="53">
        <v>45981.583333333343</v>
      </c>
      <c r="L15" s="53">
        <v>45983</v>
      </c>
      <c r="M15" s="35">
        <v>5000</v>
      </c>
      <c r="N15" s="35"/>
      <c r="O15" s="35"/>
      <c r="P15" s="35"/>
      <c r="Q15" s="35">
        <v>0</v>
      </c>
      <c r="R15" s="35">
        <v>15000</v>
      </c>
      <c r="S15" s="35">
        <v>22500</v>
      </c>
      <c r="T15" s="35"/>
      <c r="U15" s="35">
        <v>7500</v>
      </c>
      <c r="V15" s="35"/>
      <c r="W15" s="35"/>
      <c r="X15" s="35"/>
      <c r="Y15" s="120"/>
      <c r="Z15" s="22">
        <v>0</v>
      </c>
      <c r="AA15" s="35">
        <v>0</v>
      </c>
      <c r="AB15" s="120"/>
      <c r="AC15" s="35"/>
      <c r="AD15" s="23">
        <v>0</v>
      </c>
      <c r="AE15" s="23">
        <v>0</v>
      </c>
      <c r="AF15" s="35"/>
      <c r="AG15" s="23">
        <v>0</v>
      </c>
      <c r="AH15" s="35"/>
      <c r="AI15" s="35"/>
      <c r="AJ15" s="23">
        <v>0</v>
      </c>
      <c r="AK15" s="23">
        <v>0</v>
      </c>
      <c r="AL15" s="23">
        <v>0</v>
      </c>
      <c r="AM15" s="120"/>
      <c r="AN15" s="120"/>
      <c r="AO15" s="120"/>
      <c r="AP15" s="120"/>
      <c r="AQ15" s="120"/>
      <c r="AR15" s="23">
        <v>0</v>
      </c>
      <c r="AS15" s="35"/>
      <c r="AT15" s="35"/>
      <c r="AU15" s="23">
        <v>0</v>
      </c>
      <c r="AV15" s="21">
        <v>0</v>
      </c>
      <c r="AW15" s="35"/>
      <c r="AX15" s="35"/>
      <c r="AY15" s="23">
        <v>0</v>
      </c>
      <c r="AZ15" s="23">
        <v>0</v>
      </c>
      <c r="BA15" s="23">
        <v>0</v>
      </c>
      <c r="BB15" s="120"/>
      <c r="BC15" s="21">
        <v>0</v>
      </c>
      <c r="BD15" s="143">
        <v>68000</v>
      </c>
      <c r="BE15" s="119">
        <v>45979</v>
      </c>
      <c r="BF15" s="119">
        <v>45988</v>
      </c>
      <c r="BG15" s="48">
        <v>0.55882352941176472</v>
      </c>
      <c r="BH15" s="95" t="s">
        <v>115</v>
      </c>
      <c r="BI15" s="50"/>
      <c r="BJ15" s="141">
        <v>23.232246661267489</v>
      </c>
      <c r="BK15" s="141">
        <v>12.99573449554671</v>
      </c>
      <c r="BL15" s="141">
        <v>5.384910473002277</v>
      </c>
      <c r="BM15" s="141">
        <v>4.7393527397523396</v>
      </c>
      <c r="BN15" s="141">
        <v>1.525292131948792</v>
      </c>
      <c r="BO15" s="141">
        <v>1.421675202211617</v>
      </c>
      <c r="BP15" s="142">
        <v>5906.2505377638299</v>
      </c>
      <c r="BQ15" s="142">
        <v>5234.1271883327663</v>
      </c>
      <c r="BR15" s="142">
        <v>4903.6388635032999</v>
      </c>
      <c r="BS15" s="113">
        <v>1.6966692851531819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26">
        <v>-1.1032267038382479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20">
        <v>2000</v>
      </c>
      <c r="CH15" s="31">
        <v>0</v>
      </c>
      <c r="CI15" s="31">
        <v>0</v>
      </c>
      <c r="CJ15" s="31">
        <v>0</v>
      </c>
      <c r="CK15" s="31">
        <v>0</v>
      </c>
    </row>
    <row r="16" spans="1:89">
      <c r="A16" s="236">
        <v>13</v>
      </c>
      <c r="B16" s="33">
        <v>0</v>
      </c>
      <c r="C16" s="144">
        <v>45962</v>
      </c>
      <c r="D16" s="244" t="s">
        <v>97</v>
      </c>
      <c r="E16" s="15" t="s">
        <v>98</v>
      </c>
      <c r="F16" s="85" t="s">
        <v>141</v>
      </c>
      <c r="G16" s="85" t="s">
        <v>165</v>
      </c>
      <c r="H16" s="60" t="s">
        <v>332</v>
      </c>
      <c r="I16" s="85" t="s">
        <v>102</v>
      </c>
      <c r="J16" s="53">
        <v>45980</v>
      </c>
      <c r="K16" s="53">
        <v>45983.354166666657</v>
      </c>
      <c r="L16" s="53">
        <v>45984.916666666657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20"/>
      <c r="Z16" s="22"/>
      <c r="AA16" s="35"/>
      <c r="AB16" s="120"/>
      <c r="AC16" s="35"/>
      <c r="AD16" s="23"/>
      <c r="AE16" s="23"/>
      <c r="AF16" s="35"/>
      <c r="AG16" s="24"/>
      <c r="AH16" s="35"/>
      <c r="AI16" s="35"/>
      <c r="AJ16" s="23"/>
      <c r="AK16" s="23"/>
      <c r="AL16" s="23"/>
      <c r="AM16" s="120"/>
      <c r="AN16" s="120"/>
      <c r="AO16" s="120"/>
      <c r="AP16" s="120"/>
      <c r="AQ16" s="120"/>
      <c r="AR16" s="23"/>
      <c r="AS16" s="35"/>
      <c r="AT16" s="35"/>
      <c r="AU16" s="23"/>
      <c r="AV16" s="21"/>
      <c r="AW16" s="35"/>
      <c r="AX16" s="35"/>
      <c r="AY16" s="23"/>
      <c r="AZ16" s="23"/>
      <c r="BA16" s="23"/>
      <c r="BB16" s="120"/>
      <c r="BC16" s="21"/>
      <c r="BD16" s="143">
        <v>75000</v>
      </c>
      <c r="BE16" s="119">
        <v>45980</v>
      </c>
      <c r="BF16" s="119">
        <v>45989</v>
      </c>
      <c r="BG16" s="43">
        <v>0.79999999999999993</v>
      </c>
      <c r="BH16" s="95" t="s">
        <v>115</v>
      </c>
      <c r="BI16" s="50"/>
      <c r="BJ16" s="141">
        <v>14.516841015024101</v>
      </c>
      <c r="BK16" s="141">
        <v>9.0794495124105463</v>
      </c>
      <c r="BL16" s="141">
        <v>6.4835253852363888</v>
      </c>
      <c r="BM16" s="141">
        <v>6.0845718420225037</v>
      </c>
      <c r="BN16" s="141">
        <v>1.2088701262700929</v>
      </c>
      <c r="BO16" s="141">
        <v>1.138992245660853</v>
      </c>
      <c r="BP16" s="142">
        <v>6480.969628830796</v>
      </c>
      <c r="BQ16" s="142">
        <v>6096.3495488658946</v>
      </c>
      <c r="BR16" s="142">
        <v>5811.5888853031393</v>
      </c>
      <c r="BS16" s="114"/>
      <c r="BT16" s="16"/>
      <c r="BU16" s="16"/>
      <c r="BV16" s="16"/>
      <c r="BW16" s="16"/>
      <c r="BX16" s="16"/>
      <c r="BY16" s="16"/>
      <c r="BZ16" s="26"/>
      <c r="CA16" s="16"/>
      <c r="CB16" s="16"/>
      <c r="CC16" s="16"/>
      <c r="CD16" s="16"/>
      <c r="CE16" s="16"/>
      <c r="CF16" s="16"/>
      <c r="CG16" s="20"/>
      <c r="CH16" s="32"/>
      <c r="CI16" s="32"/>
      <c r="CJ16" s="32"/>
      <c r="CK16" s="32"/>
    </row>
    <row r="17" spans="1:89">
      <c r="A17" s="236">
        <v>14</v>
      </c>
      <c r="B17" s="33">
        <v>0</v>
      </c>
      <c r="C17" s="144">
        <v>45962</v>
      </c>
      <c r="D17" s="244" t="s">
        <v>148</v>
      </c>
      <c r="E17" s="15" t="s">
        <v>98</v>
      </c>
      <c r="F17" s="85" t="s">
        <v>141</v>
      </c>
      <c r="G17" s="85" t="s">
        <v>149</v>
      </c>
      <c r="H17" s="60" t="s">
        <v>333</v>
      </c>
      <c r="I17" s="85" t="s">
        <v>102</v>
      </c>
      <c r="J17" s="53">
        <v>45982</v>
      </c>
      <c r="K17" s="53">
        <v>45985.166666666657</v>
      </c>
      <c r="L17" s="53">
        <v>45986.3125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120"/>
      <c r="Z17" s="22"/>
      <c r="AA17" s="35"/>
      <c r="AB17" s="120"/>
      <c r="AC17" s="35"/>
      <c r="AD17" s="23"/>
      <c r="AE17" s="23"/>
      <c r="AF17" s="35"/>
      <c r="AG17" s="23"/>
      <c r="AH17" s="35"/>
      <c r="AI17" s="35"/>
      <c r="AJ17" s="23"/>
      <c r="AK17" s="23"/>
      <c r="AL17" s="23"/>
      <c r="AM17" s="120"/>
      <c r="AN17" s="120"/>
      <c r="AO17" s="120"/>
      <c r="AP17" s="120"/>
      <c r="AQ17" s="120"/>
      <c r="AR17" s="23"/>
      <c r="AS17" s="35"/>
      <c r="AT17" s="35"/>
      <c r="AU17" s="23"/>
      <c r="AV17" s="21"/>
      <c r="AW17" s="35"/>
      <c r="AX17" s="35"/>
      <c r="AY17" s="23"/>
      <c r="AZ17" s="23"/>
      <c r="BA17" s="23"/>
      <c r="BB17" s="120"/>
      <c r="BC17" s="21"/>
      <c r="BD17" s="143">
        <v>55000</v>
      </c>
      <c r="BE17" s="119">
        <v>45982</v>
      </c>
      <c r="BF17" s="119">
        <v>45991</v>
      </c>
      <c r="BG17" s="43">
        <v>0.54545454545454541</v>
      </c>
      <c r="BH17" s="95" t="s">
        <v>115</v>
      </c>
      <c r="BI17" s="50"/>
      <c r="BJ17" s="141">
        <v>13.35956503253691</v>
      </c>
      <c r="BK17" s="141">
        <v>6.9660994311989208</v>
      </c>
      <c r="BL17" s="141">
        <v>5.842840163462963</v>
      </c>
      <c r="BM17" s="141">
        <v>5.4415922232295122</v>
      </c>
      <c r="BN17" s="141">
        <v>1.057640080480627</v>
      </c>
      <c r="BO17" s="141">
        <v>0.9953256949162208</v>
      </c>
      <c r="BP17" s="142">
        <v>6715.4713831581739</v>
      </c>
      <c r="BQ17" s="142">
        <v>6257.97964042083</v>
      </c>
      <c r="BR17" s="142">
        <v>5959.419708284835</v>
      </c>
      <c r="BS17" s="113"/>
      <c r="BT17" s="16"/>
      <c r="BU17" s="16"/>
      <c r="BV17" s="16"/>
      <c r="BW17" s="16"/>
      <c r="BX17" s="16"/>
      <c r="BY17" s="16"/>
      <c r="BZ17" s="26"/>
      <c r="CA17" s="16"/>
      <c r="CB17" s="16"/>
      <c r="CC17" s="16"/>
      <c r="CD17" s="16"/>
      <c r="CE17" s="16"/>
      <c r="CF17" s="16"/>
      <c r="CG17" s="20"/>
      <c r="CH17" s="31"/>
      <c r="CI17" s="31"/>
      <c r="CJ17" s="31"/>
      <c r="CK17" s="31"/>
    </row>
    <row r="18" spans="1:89">
      <c r="A18" s="236">
        <v>15</v>
      </c>
      <c r="B18" s="33">
        <v>0</v>
      </c>
      <c r="C18" s="144">
        <v>45962</v>
      </c>
      <c r="D18" s="244" t="s">
        <v>97</v>
      </c>
      <c r="E18" s="96" t="s">
        <v>98</v>
      </c>
      <c r="F18" s="85" t="s">
        <v>141</v>
      </c>
      <c r="G18" s="85" t="s">
        <v>145</v>
      </c>
      <c r="H18" s="60" t="s">
        <v>334</v>
      </c>
      <c r="I18" s="85" t="s">
        <v>102</v>
      </c>
      <c r="J18" s="53">
        <v>45983</v>
      </c>
      <c r="K18" s="53">
        <v>45986.458333333343</v>
      </c>
      <c r="L18" s="53">
        <v>45987.916666666657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20"/>
      <c r="Z18" s="22"/>
      <c r="AA18" s="35"/>
      <c r="AB18" s="120"/>
      <c r="AC18" s="35"/>
      <c r="AD18" s="23"/>
      <c r="AE18" s="23"/>
      <c r="AF18" s="35"/>
      <c r="AG18" s="23"/>
      <c r="AH18" s="35"/>
      <c r="AI18" s="35"/>
      <c r="AJ18" s="23"/>
      <c r="AK18" s="23"/>
      <c r="AL18" s="23"/>
      <c r="AM18" s="120"/>
      <c r="AN18" s="120"/>
      <c r="AO18" s="120"/>
      <c r="AP18" s="120"/>
      <c r="AQ18" s="120"/>
      <c r="AR18" s="23"/>
      <c r="AS18" s="35"/>
      <c r="AT18" s="35"/>
      <c r="AU18" s="23"/>
      <c r="AV18" s="21"/>
      <c r="AW18" s="35"/>
      <c r="AX18" s="35"/>
      <c r="AY18" s="23"/>
      <c r="AZ18" s="23"/>
      <c r="BA18" s="23"/>
      <c r="BB18" s="120"/>
      <c r="BC18" s="21"/>
      <c r="BD18" s="143">
        <v>70000</v>
      </c>
      <c r="BE18" s="97">
        <v>45983</v>
      </c>
      <c r="BF18" s="97">
        <v>45992</v>
      </c>
      <c r="BG18" s="43">
        <v>0.7857142857142857</v>
      </c>
      <c r="BH18" s="95" t="s">
        <v>115</v>
      </c>
      <c r="BI18" s="50"/>
      <c r="BJ18" s="141">
        <v>19.969039755111371</v>
      </c>
      <c r="BK18" s="141">
        <v>13.038244880870501</v>
      </c>
      <c r="BL18" s="141">
        <v>6.9356248683988238</v>
      </c>
      <c r="BM18" s="141">
        <v>6.3321689179722362</v>
      </c>
      <c r="BN18" s="141">
        <v>1.910630327158598</v>
      </c>
      <c r="BO18" s="141">
        <v>1.799552186333498</v>
      </c>
      <c r="BP18" s="142">
        <v>5898.5300706697617</v>
      </c>
      <c r="BQ18" s="142">
        <v>5446.4725069784863</v>
      </c>
      <c r="BR18" s="142">
        <v>5133.3797431712755</v>
      </c>
      <c r="BS18" s="113"/>
      <c r="BT18" s="16"/>
      <c r="BU18" s="16"/>
      <c r="BV18" s="16"/>
      <c r="BW18" s="16"/>
      <c r="BX18" s="16"/>
      <c r="BY18" s="16"/>
      <c r="BZ18" s="26"/>
      <c r="CA18" s="16"/>
      <c r="CB18" s="16"/>
      <c r="CC18" s="16"/>
      <c r="CD18" s="16"/>
      <c r="CE18" s="16"/>
      <c r="CF18" s="16"/>
      <c r="CG18" s="20"/>
      <c r="CH18" s="32"/>
      <c r="CI18" s="32"/>
      <c r="CJ18" s="32"/>
      <c r="CK18" s="32"/>
    </row>
    <row r="19" spans="1:89">
      <c r="A19" s="236">
        <v>16</v>
      </c>
      <c r="B19" s="33">
        <v>0</v>
      </c>
      <c r="C19" s="144">
        <v>45962</v>
      </c>
      <c r="D19" s="244" t="s">
        <v>97</v>
      </c>
      <c r="E19" s="96" t="s">
        <v>98</v>
      </c>
      <c r="F19" s="85" t="s">
        <v>141</v>
      </c>
      <c r="G19" s="85" t="s">
        <v>261</v>
      </c>
      <c r="H19" s="60" t="s">
        <v>335</v>
      </c>
      <c r="I19" s="85" t="s">
        <v>102</v>
      </c>
      <c r="J19" s="53">
        <v>45986</v>
      </c>
      <c r="K19" s="53">
        <v>45988.166666666657</v>
      </c>
      <c r="L19" s="53">
        <v>45989.208333541668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120"/>
      <c r="Z19" s="22"/>
      <c r="AA19" s="35"/>
      <c r="AB19" s="120"/>
      <c r="AC19" s="35"/>
      <c r="AD19" s="23"/>
      <c r="AE19" s="23"/>
      <c r="AF19" s="35"/>
      <c r="AG19" s="23"/>
      <c r="AH19" s="35"/>
      <c r="AI19" s="35"/>
      <c r="AJ19" s="23"/>
      <c r="AK19" s="23"/>
      <c r="AL19" s="23"/>
      <c r="AM19" s="120"/>
      <c r="AN19" s="120"/>
      <c r="AO19" s="120"/>
      <c r="AP19" s="120"/>
      <c r="AQ19" s="120"/>
      <c r="AR19" s="23"/>
      <c r="AS19" s="35"/>
      <c r="AT19" s="35"/>
      <c r="AU19" s="23"/>
      <c r="AV19" s="21"/>
      <c r="AW19" s="35"/>
      <c r="AX19" s="35"/>
      <c r="AY19" s="23"/>
      <c r="AZ19" s="23"/>
      <c r="BA19" s="23"/>
      <c r="BB19" s="120"/>
      <c r="BC19" s="21"/>
      <c r="BD19" s="143">
        <v>50000.01</v>
      </c>
      <c r="BE19" s="97">
        <v>45986</v>
      </c>
      <c r="BF19" s="97">
        <v>45995</v>
      </c>
      <c r="BG19" s="54">
        <v>0.59400008119998382</v>
      </c>
      <c r="BH19" s="95" t="s">
        <v>115</v>
      </c>
      <c r="BI19" s="50"/>
      <c r="BJ19" s="141">
        <v>18.952678591599081</v>
      </c>
      <c r="BK19" s="141">
        <v>11.72082596451123</v>
      </c>
      <c r="BL19" s="141">
        <v>6.4310428902182126</v>
      </c>
      <c r="BM19" s="141">
        <v>5.8953957489150692</v>
      </c>
      <c r="BN19" s="141">
        <v>1.3882018395861859</v>
      </c>
      <c r="BO19" s="141">
        <v>1.289436635645093</v>
      </c>
      <c r="BP19" s="142">
        <v>6089.6397638347826</v>
      </c>
      <c r="BQ19" s="142">
        <v>5600.0000951848542</v>
      </c>
      <c r="BR19" s="142">
        <v>5284.5778575037784</v>
      </c>
      <c r="BS19" s="113"/>
      <c r="BT19" s="16"/>
      <c r="BU19" s="16"/>
      <c r="BV19" s="16"/>
      <c r="BW19" s="16"/>
      <c r="BX19" s="16"/>
      <c r="BY19" s="16"/>
      <c r="BZ19" s="26"/>
      <c r="CA19" s="16"/>
      <c r="CB19" s="16"/>
      <c r="CC19" s="16"/>
      <c r="CD19" s="16"/>
      <c r="CE19" s="16"/>
      <c r="CF19" s="16"/>
      <c r="CG19" s="20"/>
      <c r="CH19" s="31"/>
      <c r="CI19" s="31"/>
      <c r="CJ19" s="31"/>
      <c r="CK19" s="31"/>
    </row>
    <row r="20" spans="1:89">
      <c r="A20" s="236">
        <v>17</v>
      </c>
      <c r="B20" s="33">
        <v>0</v>
      </c>
      <c r="C20" s="144">
        <v>45962</v>
      </c>
      <c r="D20" s="244" t="s">
        <v>148</v>
      </c>
      <c r="E20" s="96" t="s">
        <v>98</v>
      </c>
      <c r="F20" s="85" t="s">
        <v>141</v>
      </c>
      <c r="G20" s="85" t="s">
        <v>195</v>
      </c>
      <c r="H20" s="60" t="s">
        <v>336</v>
      </c>
      <c r="I20" s="85" t="s">
        <v>102</v>
      </c>
      <c r="J20" s="53">
        <v>45987</v>
      </c>
      <c r="K20" s="53">
        <v>45989.395833333343</v>
      </c>
      <c r="L20" s="53">
        <v>45990.4375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120"/>
      <c r="Z20" s="22"/>
      <c r="AA20" s="35"/>
      <c r="AB20" s="120"/>
      <c r="AC20" s="35"/>
      <c r="AD20" s="23"/>
      <c r="AE20" s="23"/>
      <c r="AF20" s="35"/>
      <c r="AG20" s="23"/>
      <c r="AH20" s="35"/>
      <c r="AI20" s="35"/>
      <c r="AJ20" s="23"/>
      <c r="AK20" s="23"/>
      <c r="AL20" s="23"/>
      <c r="AM20" s="120"/>
      <c r="AN20" s="120"/>
      <c r="AO20" s="120"/>
      <c r="AP20" s="120"/>
      <c r="AQ20" s="120"/>
      <c r="AR20" s="23"/>
      <c r="AS20" s="35"/>
      <c r="AT20" s="35"/>
      <c r="AU20" s="23"/>
      <c r="AV20" s="21"/>
      <c r="AW20" s="35"/>
      <c r="AX20" s="35"/>
      <c r="AY20" s="23"/>
      <c r="AZ20" s="23"/>
      <c r="BA20" s="23"/>
      <c r="BB20" s="120"/>
      <c r="BC20" s="21"/>
      <c r="BD20" s="143">
        <v>50000</v>
      </c>
      <c r="BE20" s="97">
        <v>45987</v>
      </c>
      <c r="BF20" s="97">
        <v>45996</v>
      </c>
      <c r="BG20" s="43">
        <v>0.6</v>
      </c>
      <c r="BH20" s="95" t="s">
        <v>115</v>
      </c>
      <c r="BI20" s="50"/>
      <c r="BJ20" s="141">
        <v>12.22660763818503</v>
      </c>
      <c r="BK20" s="141">
        <v>6.6785210150408663</v>
      </c>
      <c r="BL20" s="141">
        <v>6.0815093827191733</v>
      </c>
      <c r="BM20" s="141">
        <v>5.7198246589240016</v>
      </c>
      <c r="BN20" s="141">
        <v>1.4208424739631329</v>
      </c>
      <c r="BO20" s="141">
        <v>1.342842178146809</v>
      </c>
      <c r="BP20" s="142">
        <v>6776.2005426710293</v>
      </c>
      <c r="BQ20" s="142">
        <v>6373.2586850502739</v>
      </c>
      <c r="BR20" s="142">
        <v>6078.4857859534586</v>
      </c>
      <c r="BS20" s="113"/>
      <c r="BT20" s="16"/>
      <c r="BU20" s="16"/>
      <c r="BV20" s="16"/>
      <c r="BW20" s="16"/>
      <c r="BX20" s="16"/>
      <c r="BY20" s="16"/>
      <c r="BZ20" s="26"/>
      <c r="CA20" s="16"/>
      <c r="CB20" s="16"/>
      <c r="CC20" s="16"/>
      <c r="CD20" s="16"/>
      <c r="CE20" s="16"/>
      <c r="CF20" s="16"/>
      <c r="CG20" s="20"/>
      <c r="CH20" s="32"/>
      <c r="CI20" s="32"/>
      <c r="CJ20" s="32"/>
      <c r="CK20" s="32"/>
    </row>
    <row r="21" spans="1:89">
      <c r="A21" s="236">
        <v>18</v>
      </c>
      <c r="B21" s="33">
        <v>0</v>
      </c>
      <c r="C21" s="144">
        <v>45962</v>
      </c>
      <c r="D21" s="244" t="s">
        <v>97</v>
      </c>
      <c r="E21" s="96" t="s">
        <v>179</v>
      </c>
      <c r="F21" s="85" t="s">
        <v>186</v>
      </c>
      <c r="G21" s="85" t="s">
        <v>181</v>
      </c>
      <c r="H21" s="60" t="s">
        <v>337</v>
      </c>
      <c r="I21" s="85" t="s">
        <v>102</v>
      </c>
      <c r="J21" s="53">
        <v>45976</v>
      </c>
      <c r="K21" s="53">
        <v>45978.256943611108</v>
      </c>
      <c r="L21" s="53">
        <v>45978.413193611108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120"/>
      <c r="Z21" s="22"/>
      <c r="AA21" s="35"/>
      <c r="AB21" s="120"/>
      <c r="AC21" s="35"/>
      <c r="AD21" s="23"/>
      <c r="AE21" s="23"/>
      <c r="AF21" s="35"/>
      <c r="AG21" s="23"/>
      <c r="AH21" s="35"/>
      <c r="AI21" s="35"/>
      <c r="AJ21" s="23"/>
      <c r="AK21" s="23"/>
      <c r="AL21" s="23"/>
      <c r="AM21" s="120"/>
      <c r="AN21" s="120"/>
      <c r="AO21" s="120"/>
      <c r="AP21" s="120"/>
      <c r="AQ21" s="120"/>
      <c r="AR21" s="23"/>
      <c r="AS21" s="35"/>
      <c r="AT21" s="35"/>
      <c r="AU21" s="23"/>
      <c r="AV21" s="21"/>
      <c r="AW21" s="35"/>
      <c r="AX21" s="35"/>
      <c r="AY21" s="23"/>
      <c r="AZ21" s="23"/>
      <c r="BA21" s="23"/>
      <c r="BB21" s="120"/>
      <c r="BC21" s="21"/>
      <c r="BD21" s="143">
        <v>7500</v>
      </c>
      <c r="BE21" s="97"/>
      <c r="BF21" s="97"/>
      <c r="BG21" s="43">
        <v>1</v>
      </c>
      <c r="BH21" s="95" t="s">
        <v>115</v>
      </c>
      <c r="BI21" s="50"/>
      <c r="BJ21" s="141">
        <v>15.45213043026849</v>
      </c>
      <c r="BK21" s="141">
        <v>10.45213043026849</v>
      </c>
      <c r="BL21" s="141">
        <v>5.6803423733293101</v>
      </c>
      <c r="BM21" s="141">
        <v>5.3631652073841387</v>
      </c>
      <c r="BN21" s="141">
        <v>2.2771609841593778</v>
      </c>
      <c r="BO21" s="141">
        <v>2.149999622553751</v>
      </c>
      <c r="BP21" s="142">
        <v>6293.6834991303731</v>
      </c>
      <c r="BQ21" s="142">
        <v>5942.2705715041257</v>
      </c>
      <c r="BR21" s="142">
        <v>5640.1101129267136</v>
      </c>
      <c r="BS21" s="113"/>
      <c r="BT21" s="16"/>
      <c r="BU21" s="16"/>
      <c r="BV21" s="16"/>
      <c r="BW21" s="16"/>
      <c r="BX21" s="16"/>
      <c r="BY21" s="16"/>
      <c r="BZ21" s="26"/>
      <c r="CA21" s="16"/>
      <c r="CB21" s="16"/>
      <c r="CC21" s="16"/>
      <c r="CD21" s="16"/>
      <c r="CE21" s="16"/>
      <c r="CF21" s="16"/>
      <c r="CG21" s="20"/>
      <c r="CH21" s="31"/>
      <c r="CI21" s="31"/>
      <c r="CJ21" s="31"/>
      <c r="CK21" s="31"/>
    </row>
    <row r="22" spans="1:89">
      <c r="A22" s="236">
        <v>19</v>
      </c>
      <c r="B22" s="33">
        <v>0</v>
      </c>
      <c r="C22" s="144">
        <v>45962</v>
      </c>
      <c r="D22" s="244" t="s">
        <v>97</v>
      </c>
      <c r="E22" s="96" t="s">
        <v>179</v>
      </c>
      <c r="F22" s="85" t="s">
        <v>186</v>
      </c>
      <c r="G22" s="85" t="s">
        <v>181</v>
      </c>
      <c r="H22" s="60" t="s">
        <v>338</v>
      </c>
      <c r="I22" s="85" t="s">
        <v>102</v>
      </c>
      <c r="J22" s="53">
        <v>45981</v>
      </c>
      <c r="K22" s="53">
        <v>45983.145832499999</v>
      </c>
      <c r="L22" s="53">
        <v>45983.302082499999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120"/>
      <c r="Z22" s="22"/>
      <c r="AA22" s="35"/>
      <c r="AB22" s="120"/>
      <c r="AC22" s="35"/>
      <c r="AD22" s="23"/>
      <c r="AE22" s="23"/>
      <c r="AF22" s="35"/>
      <c r="AG22" s="23"/>
      <c r="AH22" s="35"/>
      <c r="AI22" s="35"/>
      <c r="AJ22" s="23"/>
      <c r="AK22" s="23"/>
      <c r="AL22" s="23"/>
      <c r="AM22" s="120"/>
      <c r="AN22" s="120"/>
      <c r="AO22" s="120"/>
      <c r="AP22" s="120"/>
      <c r="AQ22" s="120"/>
      <c r="AR22" s="23"/>
      <c r="AS22" s="35"/>
      <c r="AT22" s="35"/>
      <c r="AU22" s="23"/>
      <c r="AV22" s="21"/>
      <c r="AW22" s="35"/>
      <c r="AX22" s="35"/>
      <c r="AY22" s="23"/>
      <c r="AZ22" s="23"/>
      <c r="BA22" s="23"/>
      <c r="BB22" s="120"/>
      <c r="BC22" s="21"/>
      <c r="BD22" s="177">
        <v>7500</v>
      </c>
      <c r="BE22" s="97"/>
      <c r="BF22" s="97"/>
      <c r="BG22" s="43">
        <v>1</v>
      </c>
      <c r="BH22" s="95" t="s">
        <v>115</v>
      </c>
      <c r="BI22" s="50"/>
      <c r="BJ22" s="141">
        <v>15.45213043026849</v>
      </c>
      <c r="BK22" s="141">
        <v>10.45213043026849</v>
      </c>
      <c r="BL22" s="141">
        <v>5.6803423733293101</v>
      </c>
      <c r="BM22" s="141">
        <v>5.3631652073841387</v>
      </c>
      <c r="BN22" s="141">
        <v>2.2771609841593778</v>
      </c>
      <c r="BO22" s="141">
        <v>2.149999622553751</v>
      </c>
      <c r="BP22" s="142">
        <v>6293.6834991303731</v>
      </c>
      <c r="BQ22" s="142">
        <v>5942.2705715041257</v>
      </c>
      <c r="BR22" s="142">
        <v>5640.1101129267136</v>
      </c>
      <c r="BS22" s="113"/>
      <c r="BT22" s="16"/>
      <c r="BU22" s="16"/>
      <c r="BV22" s="16"/>
      <c r="BW22" s="16"/>
      <c r="BX22" s="16"/>
      <c r="BY22" s="16"/>
      <c r="BZ22" s="26"/>
      <c r="CA22" s="16"/>
      <c r="CB22" s="16"/>
      <c r="CC22" s="16"/>
      <c r="CD22" s="16"/>
      <c r="CE22" s="16"/>
      <c r="CF22" s="16"/>
      <c r="CG22" s="20"/>
      <c r="CH22" s="32"/>
      <c r="CI22" s="32"/>
      <c r="CJ22" s="32"/>
      <c r="CK22" s="32"/>
    </row>
    <row r="23" spans="1:89">
      <c r="A23" s="236">
        <v>20</v>
      </c>
      <c r="B23" s="33">
        <v>0</v>
      </c>
      <c r="C23" s="144">
        <v>45962</v>
      </c>
      <c r="D23" s="244" t="s">
        <v>97</v>
      </c>
      <c r="E23" s="15" t="s">
        <v>179</v>
      </c>
      <c r="F23" s="85" t="s">
        <v>186</v>
      </c>
      <c r="G23" s="85" t="s">
        <v>181</v>
      </c>
      <c r="H23" s="62" t="s">
        <v>339</v>
      </c>
      <c r="I23" s="85" t="s">
        <v>102</v>
      </c>
      <c r="J23" s="53">
        <v>45984</v>
      </c>
      <c r="K23" s="53">
        <v>45986.062497916668</v>
      </c>
      <c r="L23" s="53">
        <v>45986.218747916668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120"/>
      <c r="Z23" s="22"/>
      <c r="AA23" s="35"/>
      <c r="AB23" s="120"/>
      <c r="AC23" s="35"/>
      <c r="AD23" s="23"/>
      <c r="AE23" s="23"/>
      <c r="AF23" s="35"/>
      <c r="AG23" s="23"/>
      <c r="AH23" s="35"/>
      <c r="AI23" s="35"/>
      <c r="AJ23" s="23"/>
      <c r="AK23" s="23"/>
      <c r="AL23" s="23"/>
      <c r="AM23" s="120"/>
      <c r="AN23" s="120"/>
      <c r="AO23" s="120"/>
      <c r="AP23" s="120"/>
      <c r="AQ23" s="120"/>
      <c r="AR23" s="23"/>
      <c r="AS23" s="35"/>
      <c r="AT23" s="35"/>
      <c r="AU23" s="23"/>
      <c r="AV23" s="21"/>
      <c r="AW23" s="35"/>
      <c r="AX23" s="35"/>
      <c r="AY23" s="23"/>
      <c r="AZ23" s="23"/>
      <c r="BA23" s="23"/>
      <c r="BB23" s="120"/>
      <c r="BC23" s="21"/>
      <c r="BD23" s="177">
        <v>7500</v>
      </c>
      <c r="BE23" s="97"/>
      <c r="BF23" s="97"/>
      <c r="BG23" s="54">
        <v>1</v>
      </c>
      <c r="BH23" s="95" t="s">
        <v>115</v>
      </c>
      <c r="BI23" s="50"/>
      <c r="BJ23" s="141">
        <v>15.45213043026849</v>
      </c>
      <c r="BK23" s="141">
        <v>10.45213043026849</v>
      </c>
      <c r="BL23" s="141">
        <v>5.6803423733293101</v>
      </c>
      <c r="BM23" s="141">
        <v>5.3631652073841387</v>
      </c>
      <c r="BN23" s="141">
        <v>2.2771609841593778</v>
      </c>
      <c r="BO23" s="141">
        <v>2.149999622553751</v>
      </c>
      <c r="BP23" s="142">
        <v>6293.6834991303731</v>
      </c>
      <c r="BQ23" s="142">
        <v>5942.2705715041257</v>
      </c>
      <c r="BR23" s="142">
        <v>5640.1101129267136</v>
      </c>
      <c r="BS23" s="113"/>
      <c r="BT23" s="16"/>
      <c r="BU23" s="16"/>
      <c r="BV23" s="16"/>
      <c r="BW23" s="16"/>
      <c r="BX23" s="16"/>
      <c r="BY23" s="16"/>
      <c r="BZ23" s="26"/>
      <c r="CA23" s="16"/>
      <c r="CB23" s="16"/>
      <c r="CC23" s="16"/>
      <c r="CD23" s="16"/>
      <c r="CE23" s="16"/>
      <c r="CF23" s="16"/>
      <c r="CG23" s="20"/>
      <c r="CH23" s="31"/>
      <c r="CI23" s="31"/>
      <c r="CJ23" s="31"/>
      <c r="CK23" s="31"/>
    </row>
    <row r="24" spans="1:89">
      <c r="A24" s="236">
        <v>21</v>
      </c>
      <c r="B24" s="33">
        <v>0</v>
      </c>
      <c r="C24" s="144">
        <v>45962</v>
      </c>
      <c r="D24" s="244" t="s">
        <v>97</v>
      </c>
      <c r="E24" s="15" t="s">
        <v>179</v>
      </c>
      <c r="F24" s="85" t="s">
        <v>186</v>
      </c>
      <c r="G24" s="85" t="s">
        <v>187</v>
      </c>
      <c r="H24" s="62" t="s">
        <v>340</v>
      </c>
      <c r="I24" s="85" t="s">
        <v>102</v>
      </c>
      <c r="J24" s="53">
        <v>45988</v>
      </c>
      <c r="K24" s="53">
        <v>45988.458330000001</v>
      </c>
      <c r="L24" s="53">
        <v>45988.614580000001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120"/>
      <c r="Z24" s="22"/>
      <c r="AA24" s="35"/>
      <c r="AB24" s="120"/>
      <c r="AC24" s="35"/>
      <c r="AD24" s="23"/>
      <c r="AE24" s="23"/>
      <c r="AF24" s="35"/>
      <c r="AG24" s="23"/>
      <c r="AH24" s="35"/>
      <c r="AI24" s="35"/>
      <c r="AJ24" s="23"/>
      <c r="AK24" s="23"/>
      <c r="AL24" s="23"/>
      <c r="AM24" s="120"/>
      <c r="AN24" s="120"/>
      <c r="AO24" s="120"/>
      <c r="AP24" s="120"/>
      <c r="AQ24" s="120"/>
      <c r="AR24" s="23"/>
      <c r="AS24" s="35"/>
      <c r="AT24" s="35"/>
      <c r="AU24" s="23"/>
      <c r="AV24" s="21"/>
      <c r="AW24" s="35"/>
      <c r="AX24" s="35"/>
      <c r="AY24" s="23"/>
      <c r="AZ24" s="23"/>
      <c r="BA24" s="23"/>
      <c r="BB24" s="120"/>
      <c r="BC24" s="21"/>
      <c r="BD24" s="177">
        <v>7500</v>
      </c>
      <c r="BE24" s="97"/>
      <c r="BF24" s="97"/>
      <c r="BG24" s="54">
        <v>1</v>
      </c>
      <c r="BH24" s="95" t="s">
        <v>115</v>
      </c>
      <c r="BI24" s="50"/>
      <c r="BJ24" s="141">
        <v>15.210171918993391</v>
      </c>
      <c r="BK24" s="141">
        <v>10.208008377930581</v>
      </c>
      <c r="BL24" s="141">
        <v>6.5887362139034247</v>
      </c>
      <c r="BM24" s="141">
        <v>6.2229753678736994</v>
      </c>
      <c r="BN24" s="141">
        <v>2.3826980547872649</v>
      </c>
      <c r="BO24" s="141">
        <v>2.2500000295939668</v>
      </c>
      <c r="BP24" s="142">
        <v>6273.2369478977289</v>
      </c>
      <c r="BQ24" s="142">
        <v>5923.7206998851316</v>
      </c>
      <c r="BR24" s="142">
        <v>5622.3323383554416</v>
      </c>
      <c r="BS24" s="113"/>
      <c r="BT24" s="16"/>
      <c r="BU24" s="16"/>
      <c r="BV24" s="16"/>
      <c r="BW24" s="16"/>
      <c r="BX24" s="16"/>
      <c r="BY24" s="16"/>
      <c r="BZ24" s="26"/>
      <c r="CA24" s="16"/>
      <c r="CB24" s="16"/>
      <c r="CC24" s="16"/>
      <c r="CD24" s="16"/>
      <c r="CE24" s="16"/>
      <c r="CF24" s="16"/>
      <c r="CG24" s="20"/>
      <c r="CH24" s="32"/>
      <c r="CI24" s="32"/>
      <c r="CJ24" s="32"/>
      <c r="CK24" s="32"/>
    </row>
    <row r="25" spans="1:89">
      <c r="A25" s="236">
        <v>22</v>
      </c>
      <c r="B25" s="33">
        <v>0</v>
      </c>
      <c r="C25" s="144">
        <v>45962</v>
      </c>
      <c r="D25" s="244" t="s">
        <v>97</v>
      </c>
      <c r="E25" s="15" t="s">
        <v>179</v>
      </c>
      <c r="F25" s="85" t="s">
        <v>186</v>
      </c>
      <c r="G25" s="85" t="s">
        <v>341</v>
      </c>
      <c r="H25" s="60" t="s">
        <v>342</v>
      </c>
      <c r="I25" s="85" t="s">
        <v>102</v>
      </c>
      <c r="J25" s="53">
        <v>45989</v>
      </c>
      <c r="K25" s="53">
        <v>45989.020833333343</v>
      </c>
      <c r="L25" s="53">
        <v>45989.177083333343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120"/>
      <c r="Z25" s="22"/>
      <c r="AA25" s="35"/>
      <c r="AB25" s="120"/>
      <c r="AC25" s="35"/>
      <c r="AD25" s="23"/>
      <c r="AE25" s="23"/>
      <c r="AF25" s="35"/>
      <c r="AG25" s="23"/>
      <c r="AH25" s="35"/>
      <c r="AI25" s="35"/>
      <c r="AJ25" s="23"/>
      <c r="AK25" s="23"/>
      <c r="AL25" s="23"/>
      <c r="AM25" s="120"/>
      <c r="AN25" s="120"/>
      <c r="AO25" s="120"/>
      <c r="AP25" s="120"/>
      <c r="AQ25" s="120"/>
      <c r="AR25" s="23"/>
      <c r="AS25" s="35"/>
      <c r="AT25" s="35"/>
      <c r="AU25" s="23"/>
      <c r="AV25" s="21"/>
      <c r="AW25" s="35"/>
      <c r="AX25" s="35"/>
      <c r="AY25" s="23"/>
      <c r="AZ25" s="23"/>
      <c r="BA25" s="23"/>
      <c r="BB25" s="120"/>
      <c r="BC25" s="21"/>
      <c r="BD25" s="177">
        <v>7500</v>
      </c>
      <c r="BE25" s="97"/>
      <c r="BF25" s="97"/>
      <c r="BG25" s="54">
        <v>1</v>
      </c>
      <c r="BH25" s="95" t="s">
        <v>115</v>
      </c>
      <c r="BI25" s="50"/>
      <c r="BJ25" s="141">
        <v>15.210171918993391</v>
      </c>
      <c r="BK25" s="141">
        <v>10.208008377930581</v>
      </c>
      <c r="BL25" s="141">
        <v>6.5887362139034247</v>
      </c>
      <c r="BM25" s="141">
        <v>6.2229753678736994</v>
      </c>
      <c r="BN25" s="141">
        <v>2.3826980547872649</v>
      </c>
      <c r="BO25" s="141">
        <v>2.2500000295939668</v>
      </c>
      <c r="BP25" s="142">
        <v>6273.2369478977289</v>
      </c>
      <c r="BQ25" s="142">
        <v>5923.7206998851316</v>
      </c>
      <c r="BR25" s="142">
        <v>5622.3323383554416</v>
      </c>
      <c r="BS25" s="113"/>
      <c r="BT25" s="16"/>
      <c r="BU25" s="16"/>
      <c r="BV25" s="16"/>
      <c r="BW25" s="16"/>
      <c r="BX25" s="16"/>
      <c r="BY25" s="16"/>
      <c r="BZ25" s="26"/>
      <c r="CA25" s="16"/>
      <c r="CB25" s="16"/>
      <c r="CC25" s="16"/>
      <c r="CD25" s="16"/>
      <c r="CE25" s="16"/>
      <c r="CF25" s="16"/>
      <c r="CG25" s="20"/>
      <c r="CH25" s="31"/>
      <c r="CI25" s="31"/>
      <c r="CJ25" s="31"/>
      <c r="CK25" s="31"/>
    </row>
    <row r="26" spans="1:89">
      <c r="A26" s="236">
        <v>23</v>
      </c>
      <c r="B26" s="33">
        <v>0</v>
      </c>
      <c r="C26" s="144">
        <v>45963</v>
      </c>
      <c r="D26" s="244" t="s">
        <v>97</v>
      </c>
      <c r="E26" s="15" t="s">
        <v>189</v>
      </c>
      <c r="F26" s="85" t="s">
        <v>190</v>
      </c>
      <c r="G26" s="85" t="s">
        <v>191</v>
      </c>
      <c r="H26" s="60" t="s">
        <v>343</v>
      </c>
      <c r="I26" s="85" t="s">
        <v>102</v>
      </c>
      <c r="J26" s="53">
        <v>45984</v>
      </c>
      <c r="K26" s="53">
        <v>45984</v>
      </c>
      <c r="L26" s="53">
        <v>45985.666666666657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22"/>
      <c r="AA26" s="35"/>
      <c r="AB26" s="35"/>
      <c r="AC26" s="35"/>
      <c r="AD26" s="23"/>
      <c r="AE26" s="23"/>
      <c r="AF26" s="35"/>
      <c r="AG26" s="23"/>
      <c r="AH26" s="35"/>
      <c r="AI26" s="35"/>
      <c r="AJ26" s="23"/>
      <c r="AK26" s="23"/>
      <c r="AL26" s="23"/>
      <c r="AM26" s="35"/>
      <c r="AN26" s="35"/>
      <c r="AO26" s="21"/>
      <c r="AP26" s="35"/>
      <c r="AQ26" s="35"/>
      <c r="AR26" s="23"/>
      <c r="AS26" s="35"/>
      <c r="AT26" s="35"/>
      <c r="AU26" s="23"/>
      <c r="AV26" s="21"/>
      <c r="AW26" s="35"/>
      <c r="AX26" s="35"/>
      <c r="AY26" s="23"/>
      <c r="AZ26" s="23"/>
      <c r="BA26" s="23"/>
      <c r="BB26" s="35"/>
      <c r="BC26" s="21"/>
      <c r="BD26" s="177">
        <v>2000</v>
      </c>
      <c r="BE26" s="97"/>
      <c r="BF26" s="97"/>
      <c r="BG26" s="54">
        <v>1</v>
      </c>
      <c r="BH26" s="95" t="s">
        <v>115</v>
      </c>
      <c r="BI26" s="50"/>
      <c r="BJ26" s="141">
        <v>15.24934722998575</v>
      </c>
      <c r="BK26" s="141">
        <v>10.249347229985741</v>
      </c>
      <c r="BL26" s="141">
        <v>5.4951407098673881</v>
      </c>
      <c r="BM26" s="141">
        <v>5.18900696374586</v>
      </c>
      <c r="BN26" s="141">
        <v>1.5641372849296991</v>
      </c>
      <c r="BO26" s="141">
        <v>1.4769993512960691</v>
      </c>
      <c r="BP26" s="142">
        <v>6350.9541338691424</v>
      </c>
      <c r="BQ26" s="142">
        <v>5997.1431064360904</v>
      </c>
      <c r="BR26" s="142">
        <v>5696.8212062468319</v>
      </c>
      <c r="BS26" s="113"/>
      <c r="BT26" s="16"/>
      <c r="BU26" s="16"/>
      <c r="BV26" s="16"/>
      <c r="BW26" s="16"/>
      <c r="BX26" s="16"/>
      <c r="BY26" s="16"/>
      <c r="BZ26" s="26"/>
      <c r="CA26" s="16"/>
      <c r="CB26" s="16"/>
      <c r="CC26" s="16"/>
      <c r="CD26" s="16"/>
      <c r="CE26" s="16"/>
      <c r="CF26" s="16"/>
      <c r="CG26" s="20"/>
      <c r="CH26" s="32"/>
      <c r="CI26" s="32"/>
      <c r="CJ26" s="32"/>
      <c r="CK26" s="32"/>
    </row>
    <row r="27" spans="1:89">
      <c r="A27" s="236">
        <v>24</v>
      </c>
      <c r="B27" s="33">
        <v>0</v>
      </c>
      <c r="C27" s="144">
        <v>45964</v>
      </c>
      <c r="D27" s="244" t="s">
        <v>97</v>
      </c>
      <c r="E27" s="15" t="s">
        <v>189</v>
      </c>
      <c r="F27" s="85" t="s">
        <v>190</v>
      </c>
      <c r="G27" s="85" t="s">
        <v>191</v>
      </c>
      <c r="H27" s="60" t="s">
        <v>344</v>
      </c>
      <c r="I27" s="85" t="s">
        <v>102</v>
      </c>
      <c r="J27" s="53">
        <v>45989</v>
      </c>
      <c r="K27" s="53">
        <v>45989</v>
      </c>
      <c r="L27" s="53">
        <v>45990.666666666657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22"/>
      <c r="AA27" s="35"/>
      <c r="AB27" s="35"/>
      <c r="AC27" s="35"/>
      <c r="AD27" s="23"/>
      <c r="AE27" s="23"/>
      <c r="AF27" s="35"/>
      <c r="AG27" s="23"/>
      <c r="AH27" s="35"/>
      <c r="AI27" s="35"/>
      <c r="AJ27" s="23"/>
      <c r="AK27" s="23"/>
      <c r="AL27" s="23"/>
      <c r="AM27" s="35"/>
      <c r="AN27" s="35"/>
      <c r="AO27" s="21"/>
      <c r="AP27" s="35"/>
      <c r="AQ27" s="35"/>
      <c r="AR27" s="23"/>
      <c r="AS27" s="35"/>
      <c r="AT27" s="35"/>
      <c r="AU27" s="23"/>
      <c r="AV27" s="21"/>
      <c r="AW27" s="35"/>
      <c r="AX27" s="35"/>
      <c r="AY27" s="23"/>
      <c r="AZ27" s="23"/>
      <c r="BA27" s="23"/>
      <c r="BB27" s="35"/>
      <c r="BC27" s="21"/>
      <c r="BD27" s="177">
        <v>2000</v>
      </c>
      <c r="BE27" s="119"/>
      <c r="BF27" s="119"/>
      <c r="BG27" s="54">
        <v>1</v>
      </c>
      <c r="BH27" s="95" t="s">
        <v>115</v>
      </c>
      <c r="BI27" s="50"/>
      <c r="BJ27" s="141">
        <v>15.24934722998575</v>
      </c>
      <c r="BK27" s="141">
        <v>10.249347229985741</v>
      </c>
      <c r="BL27" s="141">
        <v>5.4951407098673881</v>
      </c>
      <c r="BM27" s="141">
        <v>5.18900696374586</v>
      </c>
      <c r="BN27" s="141">
        <v>1.5641372849296991</v>
      </c>
      <c r="BO27" s="141">
        <v>1.4769993512960691</v>
      </c>
      <c r="BP27" s="142">
        <v>6350.9541338691424</v>
      </c>
      <c r="BQ27" s="142">
        <v>5997.1431064360904</v>
      </c>
      <c r="BR27" s="142">
        <v>5696.8212062468319</v>
      </c>
      <c r="BS27" s="113"/>
      <c r="BT27" s="16"/>
      <c r="BU27" s="16"/>
      <c r="BV27" s="16"/>
      <c r="BW27" s="16"/>
      <c r="BX27" s="16"/>
      <c r="BY27" s="16"/>
      <c r="BZ27" s="26"/>
      <c r="CA27" s="16"/>
      <c r="CB27" s="16"/>
      <c r="CC27" s="16"/>
      <c r="CD27" s="16"/>
      <c r="CE27" s="16"/>
      <c r="CF27" s="16"/>
      <c r="CG27" s="20"/>
      <c r="CH27" s="31"/>
      <c r="CI27" s="31"/>
      <c r="CJ27" s="31"/>
      <c r="CK27" s="31"/>
    </row>
    <row r="28" spans="1:89">
      <c r="A28" s="236">
        <v>25</v>
      </c>
      <c r="B28" s="161">
        <v>1</v>
      </c>
      <c r="C28" s="148">
        <v>45962</v>
      </c>
      <c r="D28" s="245" t="s">
        <v>133</v>
      </c>
      <c r="E28" s="162" t="s">
        <v>98</v>
      </c>
      <c r="F28" s="166" t="s">
        <v>141</v>
      </c>
      <c r="G28" s="180" t="s">
        <v>345</v>
      </c>
      <c r="H28" s="180" t="s">
        <v>346</v>
      </c>
      <c r="I28" s="190" t="s">
        <v>197</v>
      </c>
      <c r="J28" s="163">
        <v>45962</v>
      </c>
      <c r="K28" s="163">
        <v>45963.166666666657</v>
      </c>
      <c r="L28" s="163">
        <v>45966.166666666657</v>
      </c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5"/>
      <c r="AA28" s="164"/>
      <c r="AB28" s="164"/>
      <c r="AC28" s="164"/>
      <c r="AD28" s="165"/>
      <c r="AE28" s="165"/>
      <c r="AF28" s="164"/>
      <c r="AG28" s="165"/>
      <c r="AH28" s="164"/>
      <c r="AI28" s="164"/>
      <c r="AJ28" s="165"/>
      <c r="AK28" s="165"/>
      <c r="AL28" s="165"/>
      <c r="AM28" s="164"/>
      <c r="AN28" s="164"/>
      <c r="AO28" s="155"/>
      <c r="AP28" s="164"/>
      <c r="AQ28" s="164"/>
      <c r="AR28" s="165"/>
      <c r="AS28" s="164"/>
      <c r="AT28" s="164"/>
      <c r="AU28" s="165"/>
      <c r="AV28" s="155"/>
      <c r="AW28" s="164"/>
      <c r="AX28" s="164"/>
      <c r="AY28" s="165"/>
      <c r="AZ28" s="165"/>
      <c r="BA28" s="165"/>
      <c r="BB28" s="164"/>
      <c r="BC28" s="155"/>
      <c r="BD28" s="177">
        <v>75000</v>
      </c>
      <c r="BE28" s="178">
        <v>45962</v>
      </c>
      <c r="BF28" s="178">
        <v>45971</v>
      </c>
      <c r="BG28" s="158">
        <v>0.6</v>
      </c>
      <c r="BH28" s="169" t="s">
        <v>115</v>
      </c>
      <c r="BI28" s="159"/>
      <c r="BJ28" s="182">
        <v>18.604098387055739</v>
      </c>
      <c r="BK28" s="182">
        <v>10.85532339196795</v>
      </c>
      <c r="BL28" s="182">
        <v>4.075129079434749</v>
      </c>
      <c r="BM28" s="182">
        <v>3.724732303289144</v>
      </c>
      <c r="BN28" s="182">
        <v>0.80306463631783076</v>
      </c>
      <c r="BO28" s="182">
        <v>0.7599299853433521</v>
      </c>
      <c r="BP28" s="183">
        <v>6406.0239822510912</v>
      </c>
      <c r="BQ28" s="183">
        <v>5874.7416378819644</v>
      </c>
      <c r="BR28" s="183">
        <v>5552.503208802048</v>
      </c>
      <c r="BS28" s="189"/>
      <c r="BT28" s="184"/>
      <c r="BU28" s="186"/>
      <c r="BV28" s="186"/>
      <c r="BW28" s="186"/>
      <c r="BX28" s="186"/>
      <c r="BY28" s="186"/>
      <c r="BZ28" s="187"/>
      <c r="CA28" s="176"/>
      <c r="CB28" s="186"/>
      <c r="CC28" s="186"/>
      <c r="CD28" s="186"/>
      <c r="CE28" s="186"/>
      <c r="CF28" s="186"/>
      <c r="CG28" s="160"/>
      <c r="CH28" s="186"/>
      <c r="CI28" s="186"/>
      <c r="CJ28" s="186"/>
      <c r="CK28" s="186"/>
    </row>
    <row r="29" spans="1:89">
      <c r="A29" s="236">
        <v>26</v>
      </c>
      <c r="B29" s="161">
        <v>2</v>
      </c>
      <c r="C29" s="148">
        <v>45962</v>
      </c>
      <c r="D29" s="245" t="s">
        <v>148</v>
      </c>
      <c r="E29" s="162" t="s">
        <v>98</v>
      </c>
      <c r="F29" s="166" t="s">
        <v>141</v>
      </c>
      <c r="G29" s="180" t="s">
        <v>226</v>
      </c>
      <c r="H29" s="180" t="s">
        <v>347</v>
      </c>
      <c r="I29" s="190" t="s">
        <v>197</v>
      </c>
      <c r="J29" s="163">
        <v>45964</v>
      </c>
      <c r="K29" s="163">
        <v>45965.166666666657</v>
      </c>
      <c r="L29" s="163">
        <v>45968.166666666657</v>
      </c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5"/>
      <c r="AA29" s="164"/>
      <c r="AB29" s="164"/>
      <c r="AC29" s="164"/>
      <c r="AD29" s="165"/>
      <c r="AE29" s="165"/>
      <c r="AF29" s="164"/>
      <c r="AG29" s="165"/>
      <c r="AH29" s="164"/>
      <c r="AI29" s="164"/>
      <c r="AJ29" s="165"/>
      <c r="AK29" s="165"/>
      <c r="AL29" s="165"/>
      <c r="AM29" s="164"/>
      <c r="AN29" s="164"/>
      <c r="AO29" s="155"/>
      <c r="AP29" s="164"/>
      <c r="AQ29" s="164"/>
      <c r="AR29" s="165"/>
      <c r="AS29" s="164"/>
      <c r="AT29" s="164"/>
      <c r="AU29" s="165"/>
      <c r="AV29" s="155"/>
      <c r="AW29" s="164"/>
      <c r="AX29" s="164"/>
      <c r="AY29" s="165"/>
      <c r="AZ29" s="165"/>
      <c r="BA29" s="165"/>
      <c r="BB29" s="164"/>
      <c r="BC29" s="155"/>
      <c r="BD29" s="177">
        <v>75000</v>
      </c>
      <c r="BE29" s="178">
        <v>45964</v>
      </c>
      <c r="BF29" s="178">
        <v>45973</v>
      </c>
      <c r="BG29" s="158">
        <v>0.8</v>
      </c>
      <c r="BH29" s="169" t="s">
        <v>115</v>
      </c>
      <c r="BI29" s="159"/>
      <c r="BJ29" s="182">
        <v>15.654510154374391</v>
      </c>
      <c r="BK29" s="182">
        <v>8.4684551014520721</v>
      </c>
      <c r="BL29" s="182">
        <v>5.5668601414960754</v>
      </c>
      <c r="BM29" s="182">
        <v>5.1460142329606429</v>
      </c>
      <c r="BN29" s="182">
        <v>1.203393852155229</v>
      </c>
      <c r="BO29" s="182">
        <v>1.131564974572236</v>
      </c>
      <c r="BP29" s="183">
        <v>6588.2475249538202</v>
      </c>
      <c r="BQ29" s="183">
        <v>6085.5801462267063</v>
      </c>
      <c r="BR29" s="183">
        <v>5787.1902635861816</v>
      </c>
      <c r="BS29" s="189"/>
      <c r="BT29" s="184"/>
      <c r="BU29" s="186"/>
      <c r="BV29" s="186"/>
      <c r="BW29" s="186"/>
      <c r="BX29" s="186"/>
      <c r="BY29" s="186"/>
      <c r="BZ29" s="187"/>
      <c r="CA29" s="176"/>
      <c r="CB29" s="186"/>
      <c r="CC29" s="186"/>
      <c r="CD29" s="186"/>
      <c r="CE29" s="186"/>
      <c r="CF29" s="186"/>
      <c r="CG29" s="160"/>
      <c r="CH29" s="186"/>
      <c r="CI29" s="186"/>
      <c r="CJ29" s="186"/>
      <c r="CK29" s="186"/>
    </row>
    <row r="30" spans="1:89">
      <c r="A30" s="236">
        <v>27</v>
      </c>
      <c r="B30" s="196">
        <v>3</v>
      </c>
      <c r="C30" s="148">
        <v>45962</v>
      </c>
      <c r="D30" s="245" t="s">
        <v>133</v>
      </c>
      <c r="E30" s="197" t="s">
        <v>98</v>
      </c>
      <c r="F30" s="166" t="s">
        <v>141</v>
      </c>
      <c r="G30" s="198" t="s">
        <v>348</v>
      </c>
      <c r="H30" s="198" t="s">
        <v>349</v>
      </c>
      <c r="I30" s="199" t="s">
        <v>197</v>
      </c>
      <c r="J30" s="200">
        <v>45965</v>
      </c>
      <c r="K30" s="200">
        <v>45967.166666666657</v>
      </c>
      <c r="L30" s="200">
        <v>45969.966666666667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2"/>
      <c r="AA30" s="201"/>
      <c r="AB30" s="201"/>
      <c r="AC30" s="201"/>
      <c r="AD30" s="202"/>
      <c r="AE30" s="202"/>
      <c r="AF30" s="201"/>
      <c r="AG30" s="202"/>
      <c r="AH30" s="201"/>
      <c r="AI30" s="201"/>
      <c r="AJ30" s="202"/>
      <c r="AK30" s="202"/>
      <c r="AL30" s="202"/>
      <c r="AM30" s="201"/>
      <c r="AN30" s="201"/>
      <c r="AO30" s="203"/>
      <c r="AP30" s="201"/>
      <c r="AQ30" s="201"/>
      <c r="AR30" s="202"/>
      <c r="AS30" s="201"/>
      <c r="AT30" s="201"/>
      <c r="AU30" s="202"/>
      <c r="AV30" s="203"/>
      <c r="AW30" s="201"/>
      <c r="AX30" s="201"/>
      <c r="AY30" s="202"/>
      <c r="AZ30" s="202"/>
      <c r="BA30" s="202"/>
      <c r="BB30" s="201"/>
      <c r="BC30" s="203"/>
      <c r="BD30" s="204">
        <v>70000</v>
      </c>
      <c r="BE30" s="178">
        <v>45965</v>
      </c>
      <c r="BF30" s="178">
        <v>45974</v>
      </c>
      <c r="BG30" s="205">
        <v>0.74142857142857144</v>
      </c>
      <c r="BH30" s="206" t="s">
        <v>115</v>
      </c>
      <c r="BI30" s="207"/>
      <c r="BJ30" s="208">
        <v>22.20702483866642</v>
      </c>
      <c r="BK30" s="208">
        <v>11.63788946315367</v>
      </c>
      <c r="BL30" s="208">
        <v>5.1309132788257976</v>
      </c>
      <c r="BM30" s="208">
        <v>4.4308861488537996</v>
      </c>
      <c r="BN30" s="208">
        <v>1.1325624742193869</v>
      </c>
      <c r="BO30" s="208">
        <v>1.0614756033902171</v>
      </c>
      <c r="BP30" s="209">
        <v>6183.6040726328874</v>
      </c>
      <c r="BQ30" s="209">
        <v>5486.4661016266564</v>
      </c>
      <c r="BR30" s="209">
        <v>5156.0762158410134</v>
      </c>
      <c r="BS30" s="195"/>
      <c r="BT30" s="210"/>
      <c r="BU30" s="211"/>
      <c r="BV30" s="211"/>
      <c r="BW30" s="211"/>
      <c r="BX30" s="211"/>
      <c r="BY30" s="211"/>
      <c r="BZ30" s="212"/>
      <c r="CA30" s="213"/>
      <c r="CB30" s="211"/>
      <c r="CC30" s="211"/>
      <c r="CD30" s="211"/>
      <c r="CE30" s="211"/>
      <c r="CF30" s="211"/>
      <c r="CG30" s="214"/>
      <c r="CH30" s="211"/>
      <c r="CI30" s="211"/>
      <c r="CJ30" s="211"/>
      <c r="CK30" s="211"/>
    </row>
    <row r="31" spans="1:89">
      <c r="A31" s="236">
        <v>28</v>
      </c>
      <c r="B31" s="196">
        <v>4</v>
      </c>
      <c r="C31" s="148">
        <v>45962</v>
      </c>
      <c r="D31" s="245" t="s">
        <v>133</v>
      </c>
      <c r="E31" s="197" t="s">
        <v>98</v>
      </c>
      <c r="F31" s="166" t="s">
        <v>141</v>
      </c>
      <c r="G31" s="198" t="s">
        <v>288</v>
      </c>
      <c r="H31" s="198" t="s">
        <v>350</v>
      </c>
      <c r="I31" s="199" t="s">
        <v>197</v>
      </c>
      <c r="J31" s="200">
        <v>45967</v>
      </c>
      <c r="K31" s="200">
        <v>45968.5</v>
      </c>
      <c r="L31" s="200">
        <v>45971.3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2"/>
      <c r="AA31" s="201"/>
      <c r="AB31" s="201"/>
      <c r="AC31" s="201"/>
      <c r="AD31" s="202"/>
      <c r="AE31" s="202"/>
      <c r="AF31" s="201"/>
      <c r="AG31" s="202"/>
      <c r="AH31" s="201"/>
      <c r="AI31" s="201"/>
      <c r="AJ31" s="202"/>
      <c r="AK31" s="202"/>
      <c r="AL31" s="202"/>
      <c r="AM31" s="201"/>
      <c r="AN31" s="201"/>
      <c r="AO31" s="203"/>
      <c r="AP31" s="201"/>
      <c r="AQ31" s="201"/>
      <c r="AR31" s="202"/>
      <c r="AS31" s="201"/>
      <c r="AT31" s="201"/>
      <c r="AU31" s="202"/>
      <c r="AV31" s="203"/>
      <c r="AW31" s="201"/>
      <c r="AX31" s="201"/>
      <c r="AY31" s="202"/>
      <c r="AZ31" s="202"/>
      <c r="BA31" s="202"/>
      <c r="BB31" s="201"/>
      <c r="BC31" s="203"/>
      <c r="BD31" s="204">
        <v>70000</v>
      </c>
      <c r="BE31" s="178">
        <v>45967</v>
      </c>
      <c r="BF31" s="178">
        <v>45976</v>
      </c>
      <c r="BG31" s="205">
        <v>0.55857142857142861</v>
      </c>
      <c r="BH31" s="206" t="s">
        <v>115</v>
      </c>
      <c r="BI31" s="207"/>
      <c r="BJ31" s="208">
        <v>21.001781152413091</v>
      </c>
      <c r="BK31" s="208">
        <v>12.45421164536978</v>
      </c>
      <c r="BL31" s="208">
        <v>5.1054842122218291</v>
      </c>
      <c r="BM31" s="208">
        <v>4.5592518955257937</v>
      </c>
      <c r="BN31" s="208">
        <v>0.94999992950884848</v>
      </c>
      <c r="BO31" s="208">
        <v>0.88284894399366276</v>
      </c>
      <c r="BP31" s="209">
        <v>6111.9067745826878</v>
      </c>
      <c r="BQ31" s="209">
        <v>5537.6704940792943</v>
      </c>
      <c r="BR31" s="209">
        <v>5213.5000088209345</v>
      </c>
      <c r="BS31" s="195"/>
      <c r="BT31" s="210"/>
      <c r="BU31" s="211"/>
      <c r="BV31" s="211"/>
      <c r="BW31" s="211"/>
      <c r="BX31" s="211"/>
      <c r="BY31" s="211"/>
      <c r="BZ31" s="212"/>
      <c r="CA31" s="213"/>
      <c r="CB31" s="211"/>
      <c r="CC31" s="211"/>
      <c r="CD31" s="211"/>
      <c r="CE31" s="211"/>
      <c r="CF31" s="211"/>
      <c r="CG31" s="214"/>
      <c r="CH31" s="211"/>
      <c r="CI31" s="211"/>
      <c r="CJ31" s="211"/>
      <c r="CK31" s="211"/>
    </row>
    <row r="32" spans="1:89">
      <c r="A32" s="236">
        <v>29</v>
      </c>
      <c r="B32" s="196">
        <v>5</v>
      </c>
      <c r="C32" s="148">
        <v>45962</v>
      </c>
      <c r="D32" s="245" t="s">
        <v>133</v>
      </c>
      <c r="E32" s="197" t="s">
        <v>98</v>
      </c>
      <c r="F32" s="166" t="s">
        <v>141</v>
      </c>
      <c r="G32" s="198" t="s">
        <v>301</v>
      </c>
      <c r="H32" s="198" t="s">
        <v>351</v>
      </c>
      <c r="I32" s="199" t="s">
        <v>197</v>
      </c>
      <c r="J32" s="200">
        <v>45969</v>
      </c>
      <c r="K32" s="200">
        <v>45970.666666666657</v>
      </c>
      <c r="L32" s="200">
        <v>45973.466666666667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2"/>
      <c r="AA32" s="201"/>
      <c r="AB32" s="201"/>
      <c r="AC32" s="201"/>
      <c r="AD32" s="202"/>
      <c r="AE32" s="202"/>
      <c r="AF32" s="201"/>
      <c r="AG32" s="202"/>
      <c r="AH32" s="201"/>
      <c r="AI32" s="201"/>
      <c r="AJ32" s="202"/>
      <c r="AK32" s="202"/>
      <c r="AL32" s="202"/>
      <c r="AM32" s="201"/>
      <c r="AN32" s="201"/>
      <c r="AO32" s="203"/>
      <c r="AP32" s="201"/>
      <c r="AQ32" s="201"/>
      <c r="AR32" s="202"/>
      <c r="AS32" s="201"/>
      <c r="AT32" s="201"/>
      <c r="AU32" s="202"/>
      <c r="AV32" s="203"/>
      <c r="AW32" s="201"/>
      <c r="AX32" s="201"/>
      <c r="AY32" s="202"/>
      <c r="AZ32" s="202"/>
      <c r="BA32" s="202"/>
      <c r="BB32" s="201"/>
      <c r="BC32" s="203"/>
      <c r="BD32" s="204">
        <v>70000</v>
      </c>
      <c r="BE32" s="178">
        <v>45969</v>
      </c>
      <c r="BF32" s="178">
        <v>45978</v>
      </c>
      <c r="BG32" s="205">
        <v>0.7857142857142857</v>
      </c>
      <c r="BH32" s="206" t="s">
        <v>115</v>
      </c>
      <c r="BI32" s="207"/>
      <c r="BJ32" s="208">
        <v>15.076452632722081</v>
      </c>
      <c r="BK32" s="208">
        <v>9.8632390794431295</v>
      </c>
      <c r="BL32" s="208">
        <v>3.9507938059773489</v>
      </c>
      <c r="BM32" s="208">
        <v>3.7081160195553009</v>
      </c>
      <c r="BN32" s="208">
        <v>0.72632170604090218</v>
      </c>
      <c r="BO32" s="208">
        <v>0.68785746168488715</v>
      </c>
      <c r="BP32" s="209">
        <v>6587.191873824001</v>
      </c>
      <c r="BQ32" s="209">
        <v>6211.187242813101</v>
      </c>
      <c r="BR32" s="209">
        <v>5899.8196473362923</v>
      </c>
      <c r="BS32" s="195"/>
      <c r="BT32" s="210"/>
      <c r="BU32" s="211"/>
      <c r="BV32" s="211"/>
      <c r="BW32" s="211"/>
      <c r="BX32" s="211"/>
      <c r="BY32" s="211"/>
      <c r="BZ32" s="212"/>
      <c r="CA32" s="213"/>
      <c r="CB32" s="211"/>
      <c r="CC32" s="211"/>
      <c r="CD32" s="211"/>
      <c r="CE32" s="211"/>
      <c r="CF32" s="211"/>
      <c r="CG32" s="214"/>
      <c r="CH32" s="211"/>
      <c r="CI32" s="211"/>
      <c r="CJ32" s="211"/>
      <c r="CK32" s="211"/>
    </row>
    <row r="33" spans="1:89">
      <c r="A33" s="236">
        <v>30</v>
      </c>
      <c r="B33" s="196">
        <v>6</v>
      </c>
      <c r="C33" s="148">
        <v>45962</v>
      </c>
      <c r="D33" s="245" t="s">
        <v>133</v>
      </c>
      <c r="E33" s="197" t="s">
        <v>98</v>
      </c>
      <c r="F33" s="166" t="s">
        <v>156</v>
      </c>
      <c r="G33" s="198" t="s">
        <v>231</v>
      </c>
      <c r="H33" s="198" t="s">
        <v>352</v>
      </c>
      <c r="I33" s="199" t="s">
        <v>197</v>
      </c>
      <c r="J33" s="200">
        <v>45971</v>
      </c>
      <c r="K33" s="200">
        <v>45972.666666666657</v>
      </c>
      <c r="L33" s="200">
        <v>45975.666666666657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2"/>
      <c r="AA33" s="201"/>
      <c r="AB33" s="201"/>
      <c r="AC33" s="201"/>
      <c r="AD33" s="202"/>
      <c r="AE33" s="202"/>
      <c r="AF33" s="201"/>
      <c r="AG33" s="202"/>
      <c r="AH33" s="201"/>
      <c r="AI33" s="201"/>
      <c r="AJ33" s="202"/>
      <c r="AK33" s="202"/>
      <c r="AL33" s="202"/>
      <c r="AM33" s="201"/>
      <c r="AN33" s="201"/>
      <c r="AO33" s="203"/>
      <c r="AP33" s="201"/>
      <c r="AQ33" s="201"/>
      <c r="AR33" s="202"/>
      <c r="AS33" s="201"/>
      <c r="AT33" s="201"/>
      <c r="AU33" s="202"/>
      <c r="AV33" s="203"/>
      <c r="AW33" s="201"/>
      <c r="AX33" s="201"/>
      <c r="AY33" s="202"/>
      <c r="AZ33" s="202"/>
      <c r="BA33" s="202"/>
      <c r="BB33" s="201"/>
      <c r="BC33" s="203"/>
      <c r="BD33" s="204">
        <v>75000</v>
      </c>
      <c r="BE33" s="178">
        <v>45971</v>
      </c>
      <c r="BF33" s="178">
        <v>45980</v>
      </c>
      <c r="BG33" s="205">
        <v>0.6</v>
      </c>
      <c r="BH33" s="206" t="s">
        <v>115</v>
      </c>
      <c r="BI33" s="207"/>
      <c r="BJ33" s="208">
        <v>20.052073629562521</v>
      </c>
      <c r="BK33" s="208">
        <v>13.07088616871032</v>
      </c>
      <c r="BL33" s="208">
        <v>5.4777939951311314</v>
      </c>
      <c r="BM33" s="208">
        <v>4.9523797304917272</v>
      </c>
      <c r="BN33" s="208">
        <v>0.88507118062206502</v>
      </c>
      <c r="BO33" s="208">
        <v>0.83102727999227632</v>
      </c>
      <c r="BP33" s="209">
        <v>6068.4548050223893</v>
      </c>
      <c r="BQ33" s="209">
        <v>5602.3984669975443</v>
      </c>
      <c r="BR33" s="209">
        <v>5284.276717532689</v>
      </c>
      <c r="BS33" s="195"/>
      <c r="BT33" s="210"/>
      <c r="BU33" s="211"/>
      <c r="BV33" s="211"/>
      <c r="BW33" s="211"/>
      <c r="BX33" s="211"/>
      <c r="BY33" s="211"/>
      <c r="BZ33" s="212"/>
      <c r="CA33" s="213"/>
      <c r="CB33" s="211"/>
      <c r="CC33" s="211"/>
      <c r="CD33" s="211"/>
      <c r="CE33" s="211"/>
      <c r="CF33" s="211"/>
      <c r="CG33" s="214"/>
      <c r="CH33" s="211"/>
      <c r="CI33" s="211"/>
      <c r="CJ33" s="211"/>
      <c r="CK33" s="211"/>
    </row>
    <row r="34" spans="1:89">
      <c r="A34" s="236">
        <v>31</v>
      </c>
      <c r="B34" s="196">
        <v>7</v>
      </c>
      <c r="C34" s="148">
        <v>45962</v>
      </c>
      <c r="D34" s="245" t="s">
        <v>148</v>
      </c>
      <c r="E34" s="197" t="s">
        <v>98</v>
      </c>
      <c r="F34" s="166" t="s">
        <v>156</v>
      </c>
      <c r="G34" s="198" t="s">
        <v>353</v>
      </c>
      <c r="H34" s="198" t="s">
        <v>354</v>
      </c>
      <c r="I34" s="199" t="s">
        <v>197</v>
      </c>
      <c r="J34" s="200">
        <v>45976</v>
      </c>
      <c r="K34" s="200">
        <v>45977.916666666657</v>
      </c>
      <c r="L34" s="200">
        <v>45981.156666666669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2"/>
      <c r="AA34" s="201"/>
      <c r="AB34" s="201"/>
      <c r="AC34" s="201"/>
      <c r="AD34" s="202"/>
      <c r="AE34" s="202"/>
      <c r="AF34" s="201"/>
      <c r="AG34" s="202"/>
      <c r="AH34" s="201"/>
      <c r="AI34" s="201"/>
      <c r="AJ34" s="202"/>
      <c r="AK34" s="202"/>
      <c r="AL34" s="202"/>
      <c r="AM34" s="201"/>
      <c r="AN34" s="201"/>
      <c r="AO34" s="203"/>
      <c r="AP34" s="201"/>
      <c r="AQ34" s="201"/>
      <c r="AR34" s="202"/>
      <c r="AS34" s="201"/>
      <c r="AT34" s="201"/>
      <c r="AU34" s="202"/>
      <c r="AV34" s="203"/>
      <c r="AW34" s="201"/>
      <c r="AX34" s="201"/>
      <c r="AY34" s="202"/>
      <c r="AZ34" s="202"/>
      <c r="BA34" s="202"/>
      <c r="BB34" s="201"/>
      <c r="BC34" s="203"/>
      <c r="BD34" s="204">
        <v>81000</v>
      </c>
      <c r="BE34" s="178">
        <v>45976</v>
      </c>
      <c r="BF34" s="178">
        <v>45985</v>
      </c>
      <c r="BG34" s="205">
        <v>0.72222222222222221</v>
      </c>
      <c r="BH34" s="206" t="s">
        <v>115</v>
      </c>
      <c r="BI34" s="207"/>
      <c r="BJ34" s="208">
        <v>14.2944843646096</v>
      </c>
      <c r="BK34" s="208">
        <v>7.9243086267524943</v>
      </c>
      <c r="BL34" s="208">
        <v>5.7390731287902277</v>
      </c>
      <c r="BM34" s="208">
        <v>5.3364837861271619</v>
      </c>
      <c r="BN34" s="208">
        <v>1.2710796103765689</v>
      </c>
      <c r="BO34" s="208">
        <v>1.1886642386048769</v>
      </c>
      <c r="BP34" s="209">
        <v>6579.4115757876198</v>
      </c>
      <c r="BQ34" s="209">
        <v>6131.0743144316766</v>
      </c>
      <c r="BR34" s="209">
        <v>5819.4444369328448</v>
      </c>
      <c r="BS34" s="195"/>
      <c r="BT34" s="210"/>
      <c r="BU34" s="211"/>
      <c r="BV34" s="211"/>
      <c r="BW34" s="211"/>
      <c r="BX34" s="211"/>
      <c r="BY34" s="211"/>
      <c r="BZ34" s="212"/>
      <c r="CA34" s="213"/>
      <c r="CB34" s="211"/>
      <c r="CC34" s="211"/>
      <c r="CD34" s="211"/>
      <c r="CE34" s="211"/>
      <c r="CF34" s="211"/>
      <c r="CG34" s="214"/>
      <c r="CH34" s="211"/>
      <c r="CI34" s="211"/>
      <c r="CJ34" s="211"/>
      <c r="CK34" s="211"/>
    </row>
    <row r="35" spans="1:89">
      <c r="A35" s="236">
        <v>32</v>
      </c>
      <c r="B35" s="196">
        <v>8</v>
      </c>
      <c r="C35" s="148">
        <v>45962</v>
      </c>
      <c r="D35" s="245" t="s">
        <v>133</v>
      </c>
      <c r="E35" s="197" t="s">
        <v>98</v>
      </c>
      <c r="F35" s="166" t="s">
        <v>156</v>
      </c>
      <c r="G35" s="198" t="s">
        <v>355</v>
      </c>
      <c r="H35" s="198" t="s">
        <v>356</v>
      </c>
      <c r="I35" s="199" t="s">
        <v>197</v>
      </c>
      <c r="J35" s="200">
        <v>45979</v>
      </c>
      <c r="K35" s="200">
        <v>45979.916666666657</v>
      </c>
      <c r="L35" s="200">
        <v>45982.916666666657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2"/>
      <c r="AA35" s="201"/>
      <c r="AB35" s="201"/>
      <c r="AC35" s="201"/>
      <c r="AD35" s="202"/>
      <c r="AE35" s="202"/>
      <c r="AF35" s="201"/>
      <c r="AG35" s="202"/>
      <c r="AH35" s="201"/>
      <c r="AI35" s="201"/>
      <c r="AJ35" s="202"/>
      <c r="AK35" s="202"/>
      <c r="AL35" s="202"/>
      <c r="AM35" s="201"/>
      <c r="AN35" s="201"/>
      <c r="AO35" s="203"/>
      <c r="AP35" s="201"/>
      <c r="AQ35" s="201"/>
      <c r="AR35" s="202"/>
      <c r="AS35" s="201"/>
      <c r="AT35" s="201"/>
      <c r="AU35" s="202"/>
      <c r="AV35" s="203"/>
      <c r="AW35" s="201"/>
      <c r="AX35" s="201"/>
      <c r="AY35" s="202"/>
      <c r="AZ35" s="202"/>
      <c r="BA35" s="202"/>
      <c r="BB35" s="201"/>
      <c r="BC35" s="203"/>
      <c r="BD35" s="204">
        <v>75000</v>
      </c>
      <c r="BE35" s="178">
        <v>45979</v>
      </c>
      <c r="BF35" s="178">
        <v>45988</v>
      </c>
      <c r="BG35" s="205">
        <v>0.78800000000000003</v>
      </c>
      <c r="BH35" s="206" t="s">
        <v>115</v>
      </c>
      <c r="BI35" s="207"/>
      <c r="BJ35" s="208">
        <v>19.140816479368631</v>
      </c>
      <c r="BK35" s="208">
        <v>11.32913119549815</v>
      </c>
      <c r="BL35" s="208">
        <v>5.099705044559987</v>
      </c>
      <c r="BM35" s="208">
        <v>4.6092293994357991</v>
      </c>
      <c r="BN35" s="208">
        <v>1.270103941737464</v>
      </c>
      <c r="BO35" s="208">
        <v>1.1935558105729041</v>
      </c>
      <c r="BP35" s="209">
        <v>6267.1413294735639</v>
      </c>
      <c r="BQ35" s="209">
        <v>5737.6780087340894</v>
      </c>
      <c r="BR35" s="209">
        <v>5417.1343385006821</v>
      </c>
      <c r="BS35" s="195"/>
      <c r="BT35" s="210"/>
      <c r="BU35" s="211"/>
      <c r="BV35" s="211"/>
      <c r="BW35" s="211"/>
      <c r="BX35" s="211"/>
      <c r="BY35" s="211"/>
      <c r="BZ35" s="212"/>
      <c r="CA35" s="213"/>
      <c r="CB35" s="211"/>
      <c r="CC35" s="211"/>
      <c r="CD35" s="211"/>
      <c r="CE35" s="211"/>
      <c r="CF35" s="211"/>
      <c r="CG35" s="214"/>
      <c r="CH35" s="211"/>
      <c r="CI35" s="211"/>
      <c r="CJ35" s="211"/>
      <c r="CK35" s="211"/>
    </row>
    <row r="36" spans="1:89">
      <c r="A36" s="236">
        <v>33</v>
      </c>
      <c r="B36" s="196">
        <v>9</v>
      </c>
      <c r="C36" s="252">
        <v>45962</v>
      </c>
      <c r="D36" s="245" t="s">
        <v>148</v>
      </c>
      <c r="E36" s="197" t="s">
        <v>98</v>
      </c>
      <c r="F36" s="166" t="s">
        <v>141</v>
      </c>
      <c r="G36" s="198" t="s">
        <v>304</v>
      </c>
      <c r="H36" s="198" t="s">
        <v>357</v>
      </c>
      <c r="I36" s="199" t="s">
        <v>197</v>
      </c>
      <c r="J36" s="200">
        <v>45980</v>
      </c>
      <c r="K36" s="200">
        <v>45980.916666666657</v>
      </c>
      <c r="L36" s="200">
        <v>45983.116666666669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2"/>
      <c r="AA36" s="201"/>
      <c r="AB36" s="201"/>
      <c r="AC36" s="201"/>
      <c r="AD36" s="202"/>
      <c r="AE36" s="202"/>
      <c r="AF36" s="201"/>
      <c r="AG36" s="202"/>
      <c r="AH36" s="201"/>
      <c r="AI36" s="201"/>
      <c r="AJ36" s="202"/>
      <c r="AK36" s="202"/>
      <c r="AL36" s="202"/>
      <c r="AM36" s="201"/>
      <c r="AN36" s="201"/>
      <c r="AO36" s="203"/>
      <c r="AP36" s="201"/>
      <c r="AQ36" s="201"/>
      <c r="AR36" s="202"/>
      <c r="AS36" s="201"/>
      <c r="AT36" s="201"/>
      <c r="AU36" s="202"/>
      <c r="AV36" s="203"/>
      <c r="AW36" s="201"/>
      <c r="AX36" s="201"/>
      <c r="AY36" s="202"/>
      <c r="AZ36" s="202"/>
      <c r="BA36" s="202"/>
      <c r="BB36" s="201"/>
      <c r="BC36" s="203"/>
      <c r="BD36" s="204">
        <v>55000</v>
      </c>
      <c r="BE36" s="178">
        <v>45980</v>
      </c>
      <c r="BF36" s="178">
        <v>45989</v>
      </c>
      <c r="BG36" s="205">
        <v>0.59090909090909094</v>
      </c>
      <c r="BH36" s="206" t="s">
        <v>115</v>
      </c>
      <c r="BI36" s="207"/>
      <c r="BJ36" s="208">
        <v>14.86487571345422</v>
      </c>
      <c r="BK36" s="208">
        <v>9.376874344454933</v>
      </c>
      <c r="BL36" s="208">
        <v>5.4805257351942256</v>
      </c>
      <c r="BM36" s="208">
        <v>5.1421680547162083</v>
      </c>
      <c r="BN36" s="208">
        <v>1.176099085415194</v>
      </c>
      <c r="BO36" s="208">
        <v>1.1060326576788979</v>
      </c>
      <c r="BP36" s="209">
        <v>6505.7124373920869</v>
      </c>
      <c r="BQ36" s="209">
        <v>6114.5730458972084</v>
      </c>
      <c r="BR36" s="209">
        <v>5803.9859283234164</v>
      </c>
      <c r="BS36" s="195"/>
      <c r="BT36" s="210"/>
      <c r="BU36" s="211"/>
      <c r="BV36" s="211"/>
      <c r="BW36" s="211"/>
      <c r="BX36" s="211"/>
      <c r="BY36" s="211"/>
      <c r="BZ36" s="212"/>
      <c r="CA36" s="213"/>
      <c r="CB36" s="211"/>
      <c r="CC36" s="211"/>
      <c r="CD36" s="211"/>
      <c r="CE36" s="211"/>
      <c r="CF36" s="211"/>
      <c r="CG36" s="214"/>
      <c r="CH36" s="211"/>
      <c r="CI36" s="211"/>
      <c r="CJ36" s="211"/>
      <c r="CK36" s="211"/>
    </row>
    <row r="37" spans="1:89">
      <c r="A37" s="236">
        <v>34</v>
      </c>
      <c r="B37" s="196">
        <v>10</v>
      </c>
      <c r="C37" s="148">
        <v>45962</v>
      </c>
      <c r="D37" s="245" t="s">
        <v>133</v>
      </c>
      <c r="E37" s="197" t="s">
        <v>98</v>
      </c>
      <c r="F37" s="166" t="s">
        <v>156</v>
      </c>
      <c r="G37" s="198" t="s">
        <v>296</v>
      </c>
      <c r="H37" s="198" t="s">
        <v>358</v>
      </c>
      <c r="I37" s="199" t="s">
        <v>197</v>
      </c>
      <c r="J37" s="200">
        <v>45983</v>
      </c>
      <c r="K37" s="200">
        <v>45983.916666666657</v>
      </c>
      <c r="L37" s="200">
        <v>45986.716666666667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2"/>
      <c r="AA37" s="201"/>
      <c r="AB37" s="201"/>
      <c r="AC37" s="201"/>
      <c r="AD37" s="202"/>
      <c r="AE37" s="202"/>
      <c r="AF37" s="201"/>
      <c r="AG37" s="202"/>
      <c r="AH37" s="201"/>
      <c r="AI37" s="201"/>
      <c r="AJ37" s="202"/>
      <c r="AK37" s="202"/>
      <c r="AL37" s="202"/>
      <c r="AM37" s="201"/>
      <c r="AN37" s="201"/>
      <c r="AO37" s="203"/>
      <c r="AP37" s="201"/>
      <c r="AQ37" s="201"/>
      <c r="AR37" s="202"/>
      <c r="AS37" s="201"/>
      <c r="AT37" s="201"/>
      <c r="AU37" s="202"/>
      <c r="AV37" s="203"/>
      <c r="AW37" s="201"/>
      <c r="AX37" s="201"/>
      <c r="AY37" s="202"/>
      <c r="AZ37" s="202"/>
      <c r="BA37" s="202"/>
      <c r="BB37" s="201"/>
      <c r="BC37" s="203"/>
      <c r="BD37" s="204">
        <v>70000</v>
      </c>
      <c r="BE37" s="178">
        <v>45983</v>
      </c>
      <c r="BF37" s="178">
        <v>45992</v>
      </c>
      <c r="BG37" s="205">
        <v>0.5714285714285714</v>
      </c>
      <c r="BH37" s="206" t="s">
        <v>115</v>
      </c>
      <c r="BI37" s="207"/>
      <c r="BJ37" s="208">
        <v>19.34524761811517</v>
      </c>
      <c r="BK37" s="208">
        <v>12.6111065633216</v>
      </c>
      <c r="BL37" s="208">
        <v>7.4649867230597664</v>
      </c>
      <c r="BM37" s="208">
        <v>6.8449945271162278</v>
      </c>
      <c r="BN37" s="208">
        <v>1.170000031812471</v>
      </c>
      <c r="BO37" s="208">
        <v>1.103136146373076</v>
      </c>
      <c r="BP37" s="209">
        <v>6021.1800202331697</v>
      </c>
      <c r="BQ37" s="209">
        <v>5578.2092751101127</v>
      </c>
      <c r="BR37" s="209">
        <v>5261.8148123887322</v>
      </c>
      <c r="BS37" s="195"/>
      <c r="BT37" s="210"/>
      <c r="BU37" s="211"/>
      <c r="BV37" s="211"/>
      <c r="BW37" s="211"/>
      <c r="BX37" s="211"/>
      <c r="BY37" s="211"/>
      <c r="BZ37" s="212"/>
      <c r="CA37" s="213"/>
      <c r="CB37" s="211"/>
      <c r="CC37" s="211"/>
      <c r="CD37" s="211"/>
      <c r="CE37" s="211"/>
      <c r="CF37" s="211"/>
      <c r="CG37" s="214"/>
      <c r="CH37" s="211"/>
      <c r="CI37" s="211"/>
      <c r="CJ37" s="211"/>
      <c r="CK37" s="211"/>
    </row>
    <row r="38" spans="1:89">
      <c r="A38" s="242">
        <v>35</v>
      </c>
      <c r="B38" s="196">
        <v>11</v>
      </c>
      <c r="C38" s="240">
        <v>45962</v>
      </c>
      <c r="D38" s="246" t="s">
        <v>133</v>
      </c>
      <c r="E38" s="197" t="s">
        <v>98</v>
      </c>
      <c r="F38" s="198" t="s">
        <v>141</v>
      </c>
      <c r="G38" s="198" t="s">
        <v>204</v>
      </c>
      <c r="H38" s="198" t="s">
        <v>359</v>
      </c>
      <c r="I38" s="199" t="s">
        <v>197</v>
      </c>
      <c r="J38" s="200">
        <v>45985</v>
      </c>
      <c r="K38" s="200">
        <v>45986.132437615743</v>
      </c>
      <c r="L38" s="200">
        <v>45989.132437615743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2"/>
      <c r="AA38" s="201"/>
      <c r="AB38" s="201"/>
      <c r="AC38" s="201"/>
      <c r="AD38" s="202"/>
      <c r="AE38" s="202"/>
      <c r="AF38" s="201"/>
      <c r="AG38" s="202"/>
      <c r="AH38" s="201"/>
      <c r="AI38" s="201"/>
      <c r="AJ38" s="202"/>
      <c r="AK38" s="202"/>
      <c r="AL38" s="202"/>
      <c r="AM38" s="201"/>
      <c r="AN38" s="201"/>
      <c r="AO38" s="203"/>
      <c r="AP38" s="201"/>
      <c r="AQ38" s="201"/>
      <c r="AR38" s="202"/>
      <c r="AS38" s="201"/>
      <c r="AT38" s="201"/>
      <c r="AU38" s="202"/>
      <c r="AV38" s="203"/>
      <c r="AW38" s="201"/>
      <c r="AX38" s="201"/>
      <c r="AY38" s="202"/>
      <c r="AZ38" s="202"/>
      <c r="BA38" s="202"/>
      <c r="BB38" s="201"/>
      <c r="BC38" s="203"/>
      <c r="BD38" s="204">
        <v>75000</v>
      </c>
      <c r="BE38" s="241">
        <v>45985</v>
      </c>
      <c r="BF38" s="241">
        <v>45994</v>
      </c>
      <c r="BG38" s="205">
        <v>0.6</v>
      </c>
      <c r="BH38" s="206" t="s">
        <v>115</v>
      </c>
      <c r="BI38" s="207"/>
      <c r="BJ38" s="208">
        <v>17.91957356544291</v>
      </c>
      <c r="BK38" s="208">
        <v>11.73056071775145</v>
      </c>
      <c r="BL38" s="208">
        <v>5.4561549629798627</v>
      </c>
      <c r="BM38" s="208">
        <v>4.9778878106423088</v>
      </c>
      <c r="BN38" s="208">
        <v>1.3686036522502549</v>
      </c>
      <c r="BO38" s="208">
        <v>1.2981064483114571</v>
      </c>
      <c r="BP38" s="209">
        <v>6249.4327089489379</v>
      </c>
      <c r="BQ38" s="209">
        <v>5837.0619493089416</v>
      </c>
      <c r="BR38" s="209">
        <v>5519.1140191182176</v>
      </c>
      <c r="BS38" s="239"/>
      <c r="BT38" s="210"/>
      <c r="BU38" s="211"/>
      <c r="BV38" s="211"/>
      <c r="BW38" s="211"/>
      <c r="BX38" s="211"/>
      <c r="BY38" s="211"/>
      <c r="BZ38" s="212"/>
      <c r="CA38" s="213"/>
      <c r="CB38" s="211"/>
      <c r="CC38" s="211"/>
      <c r="CD38" s="211"/>
      <c r="CE38" s="211"/>
      <c r="CF38" s="211"/>
      <c r="CG38" s="214"/>
      <c r="CH38" s="211"/>
      <c r="CI38" s="211"/>
      <c r="CJ38" s="211"/>
      <c r="CK38" s="211"/>
    </row>
    <row r="39" spans="1:89">
      <c r="A39" s="242">
        <v>36</v>
      </c>
      <c r="B39" s="196">
        <v>12</v>
      </c>
      <c r="C39" s="240">
        <v>45962</v>
      </c>
      <c r="D39" s="246" t="s">
        <v>148</v>
      </c>
      <c r="E39" s="197" t="s">
        <v>98</v>
      </c>
      <c r="F39" s="198" t="s">
        <v>141</v>
      </c>
      <c r="G39" s="198" t="s">
        <v>360</v>
      </c>
      <c r="H39" s="198" t="s">
        <v>361</v>
      </c>
      <c r="I39" s="199" t="s">
        <v>197</v>
      </c>
      <c r="J39" s="200">
        <v>45986</v>
      </c>
      <c r="K39" s="200">
        <v>45987</v>
      </c>
      <c r="L39" s="200">
        <v>45989.4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2"/>
      <c r="AA39" s="201"/>
      <c r="AB39" s="201"/>
      <c r="AC39" s="201"/>
      <c r="AD39" s="202"/>
      <c r="AE39" s="202"/>
      <c r="AF39" s="201"/>
      <c r="AG39" s="202"/>
      <c r="AH39" s="201"/>
      <c r="AI39" s="201"/>
      <c r="AJ39" s="202"/>
      <c r="AK39" s="202"/>
      <c r="AL39" s="202"/>
      <c r="AM39" s="201"/>
      <c r="AN39" s="201"/>
      <c r="AO39" s="203"/>
      <c r="AP39" s="201"/>
      <c r="AQ39" s="201"/>
      <c r="AR39" s="202"/>
      <c r="AS39" s="201"/>
      <c r="AT39" s="201"/>
      <c r="AU39" s="202"/>
      <c r="AV39" s="203"/>
      <c r="AW39" s="201"/>
      <c r="AX39" s="201"/>
      <c r="AY39" s="202"/>
      <c r="AZ39" s="202"/>
      <c r="BA39" s="202"/>
      <c r="BB39" s="201"/>
      <c r="BC39" s="203"/>
      <c r="BD39" s="204">
        <v>60000</v>
      </c>
      <c r="BE39" s="241">
        <v>45986</v>
      </c>
      <c r="BF39" s="241">
        <v>45995</v>
      </c>
      <c r="BG39" s="205">
        <v>0.875</v>
      </c>
      <c r="BH39" s="206" t="s">
        <v>115</v>
      </c>
      <c r="BI39" s="207"/>
      <c r="BJ39" s="208">
        <v>13.354784776788909</v>
      </c>
      <c r="BK39" s="208">
        <v>7.5495394824397657</v>
      </c>
      <c r="BL39" s="208">
        <v>5.0127784842719674</v>
      </c>
      <c r="BM39" s="208">
        <v>4.6922607232657363</v>
      </c>
      <c r="BN39" s="208">
        <v>0.67754492018854606</v>
      </c>
      <c r="BO39" s="208">
        <v>0.63734689047797732</v>
      </c>
      <c r="BP39" s="209">
        <v>6745.0090224060541</v>
      </c>
      <c r="BQ39" s="209">
        <v>6326.0793108904318</v>
      </c>
      <c r="BR39" s="209">
        <v>6023.6595260325184</v>
      </c>
      <c r="BS39" s="239"/>
      <c r="BT39" s="210"/>
      <c r="BU39" s="211"/>
      <c r="BV39" s="211"/>
      <c r="BW39" s="211"/>
      <c r="BX39" s="211"/>
      <c r="BY39" s="211"/>
      <c r="BZ39" s="212"/>
      <c r="CA39" s="213"/>
      <c r="CB39" s="211"/>
      <c r="CC39" s="211"/>
      <c r="CD39" s="211"/>
      <c r="CE39" s="211"/>
      <c r="CF39" s="211"/>
      <c r="CG39" s="214"/>
      <c r="CH39" s="211"/>
      <c r="CI39" s="211"/>
      <c r="CJ39" s="211"/>
      <c r="CK39" s="211"/>
    </row>
    <row r="40" spans="1:89">
      <c r="A40" s="242">
        <v>37</v>
      </c>
      <c r="B40" s="196">
        <v>13</v>
      </c>
      <c r="C40" s="240">
        <v>45962</v>
      </c>
      <c r="D40" s="246" t="s">
        <v>133</v>
      </c>
      <c r="E40" s="197" t="s">
        <v>98</v>
      </c>
      <c r="F40" s="198" t="s">
        <v>141</v>
      </c>
      <c r="G40" s="198" t="s">
        <v>235</v>
      </c>
      <c r="H40" s="198" t="s">
        <v>362</v>
      </c>
      <c r="I40" s="199" t="s">
        <v>197</v>
      </c>
      <c r="J40" s="200">
        <v>45987</v>
      </c>
      <c r="K40" s="200">
        <v>45989.166666666657</v>
      </c>
      <c r="L40" s="200">
        <v>45991.966666666667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2"/>
      <c r="AA40" s="201"/>
      <c r="AB40" s="201"/>
      <c r="AC40" s="201"/>
      <c r="AD40" s="202"/>
      <c r="AE40" s="202"/>
      <c r="AF40" s="201"/>
      <c r="AG40" s="202"/>
      <c r="AH40" s="201"/>
      <c r="AI40" s="201"/>
      <c r="AJ40" s="202"/>
      <c r="AK40" s="202"/>
      <c r="AL40" s="202"/>
      <c r="AM40" s="201"/>
      <c r="AN40" s="201"/>
      <c r="AO40" s="203"/>
      <c r="AP40" s="201"/>
      <c r="AQ40" s="201"/>
      <c r="AR40" s="202"/>
      <c r="AS40" s="201"/>
      <c r="AT40" s="201"/>
      <c r="AU40" s="202"/>
      <c r="AV40" s="203"/>
      <c r="AW40" s="201"/>
      <c r="AX40" s="201"/>
      <c r="AY40" s="202"/>
      <c r="AZ40" s="202"/>
      <c r="BA40" s="202"/>
      <c r="BB40" s="201"/>
      <c r="BC40" s="203"/>
      <c r="BD40" s="204">
        <v>70000</v>
      </c>
      <c r="BE40" s="241">
        <v>45987</v>
      </c>
      <c r="BF40" s="241">
        <v>45996</v>
      </c>
      <c r="BG40" s="205">
        <v>0.6785714285714286</v>
      </c>
      <c r="BH40" s="206" t="s">
        <v>115</v>
      </c>
      <c r="BI40" s="207"/>
      <c r="BJ40" s="208">
        <v>20.755479087721952</v>
      </c>
      <c r="BK40" s="208">
        <v>13.319369719431689</v>
      </c>
      <c r="BL40" s="208">
        <v>5.206049807436866</v>
      </c>
      <c r="BM40" s="208">
        <v>4.6650473629427323</v>
      </c>
      <c r="BN40" s="208">
        <v>0.93164619033964369</v>
      </c>
      <c r="BO40" s="208">
        <v>0.86979690181209746</v>
      </c>
      <c r="BP40" s="209">
        <v>6041.5498237154961</v>
      </c>
      <c r="BQ40" s="209">
        <v>5548.7331646077546</v>
      </c>
      <c r="BR40" s="209">
        <v>5224.4953934073392</v>
      </c>
      <c r="BS40" s="239"/>
      <c r="BT40" s="210"/>
      <c r="BU40" s="211"/>
      <c r="BV40" s="211"/>
      <c r="BW40" s="211"/>
      <c r="BX40" s="211"/>
      <c r="BY40" s="211"/>
      <c r="BZ40" s="212"/>
      <c r="CA40" s="213"/>
      <c r="CB40" s="211"/>
      <c r="CC40" s="211"/>
      <c r="CD40" s="211"/>
      <c r="CE40" s="211"/>
      <c r="CF40" s="211"/>
      <c r="CG40" s="214"/>
      <c r="CH40" s="211"/>
      <c r="CI40" s="211"/>
      <c r="CJ40" s="211"/>
      <c r="CK40" s="211"/>
    </row>
    <row r="41" spans="1:89">
      <c r="A41" s="242">
        <v>38</v>
      </c>
      <c r="B41" s="196">
        <v>14</v>
      </c>
      <c r="C41" s="240">
        <v>45962</v>
      </c>
      <c r="D41" s="246" t="s">
        <v>25</v>
      </c>
      <c r="E41" s="197" t="s">
        <v>179</v>
      </c>
      <c r="F41" s="198" t="s">
        <v>186</v>
      </c>
      <c r="G41" s="198" t="s">
        <v>363</v>
      </c>
      <c r="H41" s="198" t="s">
        <v>364</v>
      </c>
      <c r="I41" s="199" t="s">
        <v>365</v>
      </c>
      <c r="J41" s="200">
        <v>45989</v>
      </c>
      <c r="K41" s="200">
        <v>45989.041666666657</v>
      </c>
      <c r="L41" s="200">
        <v>45990.084523807869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2"/>
      <c r="AA41" s="201"/>
      <c r="AB41" s="201"/>
      <c r="AC41" s="201"/>
      <c r="AD41" s="202"/>
      <c r="AE41" s="202"/>
      <c r="AF41" s="201"/>
      <c r="AG41" s="202"/>
      <c r="AH41" s="201"/>
      <c r="AI41" s="201"/>
      <c r="AJ41" s="202"/>
      <c r="AK41" s="202"/>
      <c r="AL41" s="202"/>
      <c r="AM41" s="201"/>
      <c r="AN41" s="201"/>
      <c r="AO41" s="203"/>
      <c r="AP41" s="201"/>
      <c r="AQ41" s="201"/>
      <c r="AR41" s="202"/>
      <c r="AS41" s="201"/>
      <c r="AT41" s="201"/>
      <c r="AU41" s="202"/>
      <c r="AV41" s="203"/>
      <c r="AW41" s="201"/>
      <c r="AX41" s="201"/>
      <c r="AY41" s="202"/>
      <c r="AZ41" s="202"/>
      <c r="BA41" s="202"/>
      <c r="BB41" s="201"/>
      <c r="BC41" s="203"/>
      <c r="BD41" s="204">
        <v>7300</v>
      </c>
      <c r="BE41" s="241"/>
      <c r="BF41" s="241"/>
      <c r="BG41" s="205">
        <v>1</v>
      </c>
      <c r="BH41" s="206" t="s">
        <v>115</v>
      </c>
      <c r="BI41" s="207"/>
      <c r="BJ41" s="208">
        <v>30.13730878831328</v>
      </c>
      <c r="BK41" s="208">
        <v>16.744654275091939</v>
      </c>
      <c r="BL41" s="208">
        <v>3.7983091258484221</v>
      </c>
      <c r="BM41" s="208">
        <v>3.1873040136363331</v>
      </c>
      <c r="BN41" s="208">
        <v>0.39221689818298261</v>
      </c>
      <c r="BO41" s="208">
        <v>0.32912394762376729</v>
      </c>
      <c r="BP41" s="209">
        <v>5343.789776094327</v>
      </c>
      <c r="BQ41" s="209">
        <v>4484.174941282532</v>
      </c>
      <c r="BR41" s="209">
        <v>4124.984581300263</v>
      </c>
      <c r="BS41" s="239"/>
      <c r="BT41" s="210"/>
      <c r="BU41" s="211"/>
      <c r="BV41" s="211"/>
      <c r="BW41" s="211"/>
      <c r="BX41" s="211"/>
      <c r="BY41" s="211"/>
      <c r="BZ41" s="212"/>
      <c r="CA41" s="213"/>
      <c r="CB41" s="211"/>
      <c r="CC41" s="211"/>
      <c r="CD41" s="211"/>
      <c r="CE41" s="211"/>
      <c r="CF41" s="211"/>
      <c r="CG41" s="214"/>
      <c r="CH41" s="211"/>
      <c r="CI41" s="211"/>
      <c r="CJ41" s="211"/>
      <c r="CK41" s="211"/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K44"/>
  <sheetViews>
    <sheetView topLeftCell="B1" zoomScale="68" workbookViewId="0">
      <selection activeCell="E29" sqref="E29:E42"/>
    </sheetView>
  </sheetViews>
  <sheetFormatPr defaultRowHeight="14.4"/>
  <cols>
    <col min="1" max="1" width="4" bestFit="1" customWidth="1"/>
    <col min="2" max="2" width="14.6640625" bestFit="1" customWidth="1"/>
    <col min="3" max="3" width="8.77734375" bestFit="1" customWidth="1"/>
    <col min="4" max="4" width="11.33203125" style="247" bestFit="1" customWidth="1"/>
    <col min="5" max="5" width="17.109375" customWidth="1"/>
    <col min="10" max="10" width="14" bestFit="1" customWidth="1"/>
    <col min="11" max="11" width="16.109375" customWidth="1"/>
    <col min="12" max="12" width="15.88671875" customWidth="1"/>
    <col min="13" max="14" width="9" bestFit="1" customWidth="1"/>
    <col min="16" max="19" width="9" bestFit="1" customWidth="1"/>
    <col min="21" max="22" width="9" bestFit="1" customWidth="1"/>
    <col min="24" max="34" width="9" bestFit="1" customWidth="1"/>
  </cols>
  <sheetData>
    <row r="3" spans="1:89">
      <c r="A3" s="231" t="s">
        <v>0</v>
      </c>
      <c r="B3" s="8" t="s">
        <v>1</v>
      </c>
      <c r="C3" s="8" t="s">
        <v>2</v>
      </c>
      <c r="D3" s="243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11</v>
      </c>
      <c r="L3" s="9" t="s">
        <v>13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25</v>
      </c>
      <c r="X3" s="17" t="s">
        <v>26</v>
      </c>
      <c r="Y3" s="17" t="s">
        <v>28</v>
      </c>
      <c r="Z3" s="17" t="s">
        <v>29</v>
      </c>
      <c r="AA3" s="17" t="s">
        <v>30</v>
      </c>
      <c r="AB3" s="18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7" t="s">
        <v>36</v>
      </c>
      <c r="AH3" s="17" t="s">
        <v>37</v>
      </c>
      <c r="AI3" s="17" t="s">
        <v>38</v>
      </c>
      <c r="AJ3" s="17" t="s">
        <v>39</v>
      </c>
      <c r="AK3" s="30" t="s">
        <v>40</v>
      </c>
      <c r="AL3" s="19" t="s">
        <v>41</v>
      </c>
      <c r="AM3" s="18" t="s">
        <v>42</v>
      </c>
      <c r="AN3" s="17" t="s">
        <v>43</v>
      </c>
      <c r="AO3" s="18" t="s">
        <v>44</v>
      </c>
      <c r="AP3" s="17" t="s">
        <v>45</v>
      </c>
      <c r="AQ3" s="18" t="s">
        <v>46</v>
      </c>
      <c r="AR3" s="18" t="s">
        <v>47</v>
      </c>
      <c r="AS3" s="17" t="s">
        <v>48</v>
      </c>
      <c r="AT3" s="18" t="s">
        <v>49</v>
      </c>
      <c r="AU3" s="18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7" t="s">
        <v>57</v>
      </c>
      <c r="BC3" s="17" t="s">
        <v>59</v>
      </c>
      <c r="BD3" s="8" t="s">
        <v>61</v>
      </c>
      <c r="BE3" s="1" t="s">
        <v>62</v>
      </c>
      <c r="BF3" s="1" t="s">
        <v>64</v>
      </c>
      <c r="BG3" s="8" t="s">
        <v>66</v>
      </c>
      <c r="BH3" s="11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73</v>
      </c>
      <c r="BO3" s="8" t="s">
        <v>74</v>
      </c>
      <c r="BP3" s="10" t="s">
        <v>75</v>
      </c>
      <c r="BQ3" s="10" t="s">
        <v>76</v>
      </c>
      <c r="BR3" s="10" t="s">
        <v>77</v>
      </c>
      <c r="BS3" s="12" t="s">
        <v>78</v>
      </c>
      <c r="BT3" s="12" t="s">
        <v>79</v>
      </c>
      <c r="BU3" s="12" t="s">
        <v>80</v>
      </c>
      <c r="BV3" s="12" t="s">
        <v>81</v>
      </c>
      <c r="BW3" s="12" t="s">
        <v>82</v>
      </c>
      <c r="BX3" s="12" t="s">
        <v>83</v>
      </c>
      <c r="BY3" s="13" t="s">
        <v>84</v>
      </c>
      <c r="BZ3" s="12" t="s">
        <v>85</v>
      </c>
      <c r="CA3" s="12" t="s">
        <v>86</v>
      </c>
      <c r="CB3" s="12" t="s">
        <v>87</v>
      </c>
      <c r="CC3" s="12" t="s">
        <v>88</v>
      </c>
      <c r="CD3" s="12" t="s">
        <v>89</v>
      </c>
      <c r="CE3" s="12" t="s">
        <v>90</v>
      </c>
      <c r="CF3" s="13" t="s">
        <v>91</v>
      </c>
      <c r="CG3" s="14" t="s">
        <v>92</v>
      </c>
      <c r="CH3" s="12" t="s">
        <v>93</v>
      </c>
      <c r="CI3" s="12" t="s">
        <v>94</v>
      </c>
      <c r="CJ3" s="12" t="s">
        <v>95</v>
      </c>
      <c r="CK3" s="12" t="s">
        <v>96</v>
      </c>
    </row>
    <row r="4" spans="1:89">
      <c r="A4" s="236">
        <v>1</v>
      </c>
      <c r="B4" s="33">
        <v>0</v>
      </c>
      <c r="C4" s="144">
        <v>45992</v>
      </c>
      <c r="D4" s="244" t="s">
        <v>97</v>
      </c>
      <c r="E4" s="15" t="s">
        <v>98</v>
      </c>
      <c r="F4" s="85" t="s">
        <v>141</v>
      </c>
      <c r="G4" s="85" t="s">
        <v>145</v>
      </c>
      <c r="H4" s="60" t="s">
        <v>366</v>
      </c>
      <c r="I4" s="85" t="s">
        <v>102</v>
      </c>
      <c r="J4" s="53">
        <v>45992</v>
      </c>
      <c r="K4" s="53">
        <v>45992.8125</v>
      </c>
      <c r="L4" s="53">
        <v>45994.270833333343</v>
      </c>
      <c r="M4" s="35"/>
      <c r="N4" s="35">
        <v>5000</v>
      </c>
      <c r="O4" s="35"/>
      <c r="P4" s="35"/>
      <c r="Q4" s="35">
        <v>35000</v>
      </c>
      <c r="R4" s="35"/>
      <c r="S4" s="35"/>
      <c r="T4" s="35"/>
      <c r="U4" s="35"/>
      <c r="V4" s="35"/>
      <c r="W4" s="35"/>
      <c r="X4" s="35">
        <v>7500</v>
      </c>
      <c r="Y4" s="120"/>
      <c r="Z4" s="22">
        <v>0</v>
      </c>
      <c r="AA4" s="35">
        <v>0</v>
      </c>
      <c r="AB4" s="120"/>
      <c r="AC4" s="35"/>
      <c r="AD4" s="23">
        <v>0</v>
      </c>
      <c r="AE4" s="23">
        <v>0</v>
      </c>
      <c r="AF4" s="35">
        <v>7500</v>
      </c>
      <c r="AG4" s="23">
        <v>0</v>
      </c>
      <c r="AH4" s="35"/>
      <c r="AI4" s="35"/>
      <c r="AJ4" s="23">
        <v>0</v>
      </c>
      <c r="AK4" s="23">
        <v>0</v>
      </c>
      <c r="AL4" s="23">
        <v>0</v>
      </c>
      <c r="AM4" s="120"/>
      <c r="AN4" s="120"/>
      <c r="AO4" s="120"/>
      <c r="AP4" s="120"/>
      <c r="AQ4" s="120"/>
      <c r="AR4" s="23">
        <v>0</v>
      </c>
      <c r="AS4" s="35"/>
      <c r="AT4" s="35"/>
      <c r="AU4" s="23">
        <v>0</v>
      </c>
      <c r="AV4" s="21">
        <v>0</v>
      </c>
      <c r="AW4" s="35"/>
      <c r="AX4" s="35"/>
      <c r="AY4" s="23">
        <v>0</v>
      </c>
      <c r="AZ4" s="23">
        <v>0</v>
      </c>
      <c r="BA4" s="23">
        <v>0</v>
      </c>
      <c r="BB4" s="120"/>
      <c r="BC4" s="21">
        <v>0</v>
      </c>
      <c r="BD4" s="143">
        <v>70000</v>
      </c>
      <c r="BE4" s="119">
        <v>45992</v>
      </c>
      <c r="BF4" s="119">
        <v>46001</v>
      </c>
      <c r="BG4" s="43">
        <v>0.60285714285714287</v>
      </c>
      <c r="BH4" s="95" t="s">
        <v>115</v>
      </c>
      <c r="BI4" s="50"/>
      <c r="BJ4" s="141">
        <v>20.848189602290869</v>
      </c>
      <c r="BK4" s="141">
        <v>11.88667913432899</v>
      </c>
      <c r="BL4" s="141">
        <v>5.9481540712848924</v>
      </c>
      <c r="BM4" s="141">
        <v>5.2752257465653747</v>
      </c>
      <c r="BN4" s="141">
        <v>1.5446008344892179</v>
      </c>
      <c r="BO4" s="141">
        <v>1.447941213727056</v>
      </c>
      <c r="BP4" s="142">
        <v>6032.9871869068284</v>
      </c>
      <c r="BQ4" s="142">
        <v>5453.3407662495538</v>
      </c>
      <c r="BR4" s="142">
        <v>5136.7831445095217</v>
      </c>
      <c r="BS4" s="113">
        <v>-5.8000000000000003E-2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26">
        <v>-0.1226201097928093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20">
        <v>2000</v>
      </c>
      <c r="CH4" s="32">
        <v>0</v>
      </c>
      <c r="CI4" s="32">
        <v>0</v>
      </c>
      <c r="CJ4" s="32">
        <v>0</v>
      </c>
      <c r="CK4" s="32">
        <v>0</v>
      </c>
    </row>
    <row r="5" spans="1:89">
      <c r="A5" s="236">
        <v>2</v>
      </c>
      <c r="B5" s="33">
        <v>0</v>
      </c>
      <c r="C5" s="144">
        <v>45992</v>
      </c>
      <c r="D5" s="244" t="s">
        <v>97</v>
      </c>
      <c r="E5" s="15" t="s">
        <v>98</v>
      </c>
      <c r="F5" s="85" t="s">
        <v>141</v>
      </c>
      <c r="G5" s="85" t="s">
        <v>128</v>
      </c>
      <c r="H5" s="60" t="s">
        <v>367</v>
      </c>
      <c r="I5" s="85" t="s">
        <v>102</v>
      </c>
      <c r="J5" s="53">
        <v>45993</v>
      </c>
      <c r="K5" s="53">
        <v>45994.5</v>
      </c>
      <c r="L5" s="53">
        <v>45996.444444444453</v>
      </c>
      <c r="M5" s="35"/>
      <c r="N5" s="35"/>
      <c r="O5" s="35"/>
      <c r="P5" s="35"/>
      <c r="Q5" s="35">
        <v>7500</v>
      </c>
      <c r="R5" s="35"/>
      <c r="S5" s="35"/>
      <c r="T5" s="35"/>
      <c r="U5" s="35">
        <v>27500</v>
      </c>
      <c r="V5" s="35">
        <v>17500</v>
      </c>
      <c r="W5" s="35"/>
      <c r="X5" s="35">
        <v>15000</v>
      </c>
      <c r="Y5" s="120"/>
      <c r="Z5" s="22">
        <v>0</v>
      </c>
      <c r="AA5" s="35">
        <v>0</v>
      </c>
      <c r="AB5" s="120"/>
      <c r="AC5" s="35">
        <v>7500</v>
      </c>
      <c r="AD5" s="23">
        <v>0</v>
      </c>
      <c r="AE5" s="23">
        <v>0</v>
      </c>
      <c r="AF5" s="35"/>
      <c r="AG5" s="23">
        <v>0</v>
      </c>
      <c r="AH5" s="35"/>
      <c r="AI5" s="35"/>
      <c r="AJ5" s="23">
        <v>0</v>
      </c>
      <c r="AK5" s="23">
        <v>0</v>
      </c>
      <c r="AL5" s="23">
        <v>0</v>
      </c>
      <c r="AM5" s="120"/>
      <c r="AN5" s="120"/>
      <c r="AO5" s="120"/>
      <c r="AP5" s="120"/>
      <c r="AQ5" s="120"/>
      <c r="AR5" s="23">
        <v>0</v>
      </c>
      <c r="AS5" s="35"/>
      <c r="AT5" s="35"/>
      <c r="AU5" s="23">
        <v>0</v>
      </c>
      <c r="AV5" s="21">
        <v>0</v>
      </c>
      <c r="AW5" s="35"/>
      <c r="AX5" s="35"/>
      <c r="AY5" s="23">
        <v>0</v>
      </c>
      <c r="AZ5" s="23">
        <v>0</v>
      </c>
      <c r="BA5" s="23">
        <v>0</v>
      </c>
      <c r="BB5" s="120"/>
      <c r="BC5" s="34">
        <v>0</v>
      </c>
      <c r="BD5" s="143">
        <v>70000</v>
      </c>
      <c r="BE5" s="119">
        <v>45993</v>
      </c>
      <c r="BF5" s="119">
        <v>46002</v>
      </c>
      <c r="BG5" s="43">
        <v>0.5</v>
      </c>
      <c r="BH5" s="95" t="s">
        <v>115</v>
      </c>
      <c r="BI5" s="50"/>
      <c r="BJ5" s="141">
        <v>28.699480305910281</v>
      </c>
      <c r="BK5" s="141">
        <v>14.80430861891041</v>
      </c>
      <c r="BL5" s="141">
        <v>5.8348543019794894</v>
      </c>
      <c r="BM5" s="141">
        <v>4.8667936290968239</v>
      </c>
      <c r="BN5" s="141">
        <v>1.275171430864978</v>
      </c>
      <c r="BO5" s="141">
        <v>1.1870232707248769</v>
      </c>
      <c r="BP5" s="142">
        <v>5646.4169033091184</v>
      </c>
      <c r="BQ5" s="142">
        <v>4759.0624026007517</v>
      </c>
      <c r="BR5" s="142">
        <v>4417.4315345090336</v>
      </c>
      <c r="BS5" s="113">
        <v>-0.26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26">
        <v>-0.37992141384864231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20">
        <v>2000.0000000012631</v>
      </c>
      <c r="CH5" s="31">
        <v>0</v>
      </c>
      <c r="CI5" s="31">
        <v>0</v>
      </c>
      <c r="CJ5" s="31">
        <v>0</v>
      </c>
      <c r="CK5" s="31">
        <v>0</v>
      </c>
    </row>
    <row r="6" spans="1:89">
      <c r="A6" s="236">
        <v>3</v>
      </c>
      <c r="B6" s="33">
        <v>0</v>
      </c>
      <c r="C6" s="144">
        <v>45992</v>
      </c>
      <c r="D6" s="244" t="s">
        <v>97</v>
      </c>
      <c r="E6" s="15" t="s">
        <v>98</v>
      </c>
      <c r="F6" s="85" t="s">
        <v>141</v>
      </c>
      <c r="G6" s="85" t="s">
        <v>175</v>
      </c>
      <c r="H6" s="60" t="s">
        <v>368</v>
      </c>
      <c r="I6" s="85" t="s">
        <v>102</v>
      </c>
      <c r="J6" s="53">
        <v>45995</v>
      </c>
      <c r="K6" s="53">
        <v>45996.631944444453</v>
      </c>
      <c r="L6" s="53">
        <v>45998.048611111109</v>
      </c>
      <c r="M6" s="35"/>
      <c r="N6" s="35">
        <v>15000</v>
      </c>
      <c r="O6" s="35"/>
      <c r="P6" s="35"/>
      <c r="Q6" s="35">
        <v>34700</v>
      </c>
      <c r="R6" s="35"/>
      <c r="S6" s="35"/>
      <c r="T6" s="35"/>
      <c r="U6" s="35"/>
      <c r="V6" s="35"/>
      <c r="W6" s="35"/>
      <c r="X6" s="35">
        <v>7500</v>
      </c>
      <c r="Y6" s="120"/>
      <c r="Z6" s="22">
        <v>0</v>
      </c>
      <c r="AA6" s="35">
        <v>0</v>
      </c>
      <c r="AB6" s="120"/>
      <c r="AC6" s="35"/>
      <c r="AD6" s="23">
        <v>0</v>
      </c>
      <c r="AE6" s="23">
        <v>0</v>
      </c>
      <c r="AF6" s="35">
        <v>7500</v>
      </c>
      <c r="AG6" s="23">
        <v>0</v>
      </c>
      <c r="AH6" s="35"/>
      <c r="AI6" s="35">
        <v>5300</v>
      </c>
      <c r="AJ6" s="23">
        <v>0</v>
      </c>
      <c r="AK6" s="23">
        <v>0</v>
      </c>
      <c r="AL6" s="23">
        <v>0</v>
      </c>
      <c r="AM6" s="120"/>
      <c r="AN6" s="120"/>
      <c r="AO6" s="120"/>
      <c r="AP6" s="120"/>
      <c r="AQ6" s="120"/>
      <c r="AR6" s="23">
        <v>0</v>
      </c>
      <c r="AS6" s="35"/>
      <c r="AT6" s="35"/>
      <c r="AU6" s="23">
        <v>0</v>
      </c>
      <c r="AV6" s="21">
        <v>0</v>
      </c>
      <c r="AW6" s="35"/>
      <c r="AX6" s="35"/>
      <c r="AY6" s="23">
        <v>0</v>
      </c>
      <c r="AZ6" s="23">
        <v>0</v>
      </c>
      <c r="BA6" s="23">
        <v>0</v>
      </c>
      <c r="BB6" s="120"/>
      <c r="BC6" s="21">
        <v>0</v>
      </c>
      <c r="BD6" s="143">
        <v>68000</v>
      </c>
      <c r="BE6" s="119">
        <v>45995</v>
      </c>
      <c r="BF6" s="119">
        <v>46004</v>
      </c>
      <c r="BG6" s="43">
        <v>0.66911764705882348</v>
      </c>
      <c r="BH6" s="95" t="s">
        <v>115</v>
      </c>
      <c r="BI6" s="50"/>
      <c r="BJ6" s="141">
        <v>23.317930693382941</v>
      </c>
      <c r="BK6" s="141">
        <v>12.43614596916589</v>
      </c>
      <c r="BL6" s="141">
        <v>5.6787889694919436</v>
      </c>
      <c r="BM6" s="141">
        <v>4.9299854372664624</v>
      </c>
      <c r="BN6" s="141">
        <v>1.7156614699508961</v>
      </c>
      <c r="BO6" s="141">
        <v>1.59980059044797</v>
      </c>
      <c r="BP6" s="142">
        <v>5924.9546083560163</v>
      </c>
      <c r="BQ6" s="142">
        <v>5219.914893092664</v>
      </c>
      <c r="BR6" s="142">
        <v>4892.7098801669063</v>
      </c>
      <c r="BS6" s="113">
        <v>-0.96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26">
        <v>-0.37908246721989208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20">
        <v>1999.999999997018</v>
      </c>
      <c r="CH6" s="32">
        <v>0</v>
      </c>
      <c r="CI6" s="32">
        <v>0</v>
      </c>
      <c r="CJ6" s="32">
        <v>0</v>
      </c>
      <c r="CK6" s="32">
        <v>0</v>
      </c>
    </row>
    <row r="7" spans="1:89">
      <c r="A7" s="236">
        <v>4</v>
      </c>
      <c r="B7" s="33">
        <v>0</v>
      </c>
      <c r="C7" s="144">
        <v>45992</v>
      </c>
      <c r="D7" s="244" t="s">
        <v>97</v>
      </c>
      <c r="E7" s="15" t="s">
        <v>98</v>
      </c>
      <c r="F7" s="85" t="s">
        <v>141</v>
      </c>
      <c r="G7" s="85" t="s">
        <v>117</v>
      </c>
      <c r="H7" s="60" t="s">
        <v>369</v>
      </c>
      <c r="I7" s="85" t="s">
        <v>102</v>
      </c>
      <c r="J7" s="53">
        <v>45997</v>
      </c>
      <c r="K7" s="53">
        <v>45998.208333333343</v>
      </c>
      <c r="L7" s="53">
        <v>45999.666666666657</v>
      </c>
      <c r="M7" s="35">
        <v>5800</v>
      </c>
      <c r="N7" s="35"/>
      <c r="O7" s="35"/>
      <c r="P7" s="35"/>
      <c r="Q7" s="35">
        <v>0</v>
      </c>
      <c r="R7" s="35">
        <v>54200</v>
      </c>
      <c r="S7" s="35"/>
      <c r="T7" s="35"/>
      <c r="U7" s="35"/>
      <c r="V7" s="35"/>
      <c r="W7" s="35"/>
      <c r="X7" s="35"/>
      <c r="Y7" s="120"/>
      <c r="Z7" s="22">
        <v>0</v>
      </c>
      <c r="AA7" s="35">
        <v>0</v>
      </c>
      <c r="AB7" s="120"/>
      <c r="AC7" s="35"/>
      <c r="AD7" s="23">
        <v>0</v>
      </c>
      <c r="AE7" s="23">
        <v>0</v>
      </c>
      <c r="AF7" s="35"/>
      <c r="AG7" s="23">
        <v>0</v>
      </c>
      <c r="AH7" s="35"/>
      <c r="AI7" s="35"/>
      <c r="AJ7" s="23">
        <v>0</v>
      </c>
      <c r="AK7" s="23">
        <v>0</v>
      </c>
      <c r="AL7" s="23">
        <v>0</v>
      </c>
      <c r="AM7" s="120"/>
      <c r="AN7" s="120"/>
      <c r="AO7" s="120"/>
      <c r="AP7" s="120"/>
      <c r="AQ7" s="120"/>
      <c r="AR7" s="23">
        <v>0</v>
      </c>
      <c r="AS7" s="35"/>
      <c r="AT7" s="35"/>
      <c r="AU7" s="23">
        <v>0</v>
      </c>
      <c r="AV7" s="21">
        <v>0</v>
      </c>
      <c r="AW7" s="35"/>
      <c r="AX7" s="35"/>
      <c r="AY7" s="23">
        <v>0</v>
      </c>
      <c r="AZ7" s="23">
        <v>0</v>
      </c>
      <c r="BA7" s="23">
        <v>0</v>
      </c>
      <c r="BB7" s="120"/>
      <c r="BC7" s="21">
        <v>0</v>
      </c>
      <c r="BD7" s="143">
        <v>70000</v>
      </c>
      <c r="BE7" s="97">
        <v>45997</v>
      </c>
      <c r="BF7" s="97">
        <v>46006</v>
      </c>
      <c r="BG7" s="48">
        <v>0.81714285714285717</v>
      </c>
      <c r="BH7" s="95" t="s">
        <v>115</v>
      </c>
      <c r="BI7" s="50"/>
      <c r="BJ7" s="141">
        <v>19.584665673200281</v>
      </c>
      <c r="BK7" s="141">
        <v>12.39488937784729</v>
      </c>
      <c r="BL7" s="141">
        <v>5.9282548961731667</v>
      </c>
      <c r="BM7" s="141">
        <v>5.3881939755395454</v>
      </c>
      <c r="BN7" s="141">
        <v>1.9625061442717391</v>
      </c>
      <c r="BO7" s="141">
        <v>1.8410293820268091</v>
      </c>
      <c r="BP7" s="142">
        <v>6026.8520515946711</v>
      </c>
      <c r="BQ7" s="142">
        <v>5547.04778829918</v>
      </c>
      <c r="BR7" s="142">
        <v>5234.6513753441113</v>
      </c>
      <c r="BS7" s="113">
        <v>-0.90332607201747395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26">
        <v>-1.98614571259773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20">
        <v>1800.000000001233</v>
      </c>
      <c r="CH7" s="31">
        <v>0</v>
      </c>
      <c r="CI7" s="31">
        <v>0</v>
      </c>
      <c r="CJ7" s="31">
        <v>0</v>
      </c>
      <c r="CK7" s="31">
        <v>0</v>
      </c>
    </row>
    <row r="8" spans="1:89">
      <c r="A8" s="236">
        <v>5</v>
      </c>
      <c r="B8" s="33">
        <v>0</v>
      </c>
      <c r="C8" s="144">
        <v>45992</v>
      </c>
      <c r="D8" s="244" t="s">
        <v>148</v>
      </c>
      <c r="E8" s="15" t="s">
        <v>98</v>
      </c>
      <c r="F8" s="85" t="s">
        <v>141</v>
      </c>
      <c r="G8" s="85" t="s">
        <v>135</v>
      </c>
      <c r="H8" s="60" t="s">
        <v>370</v>
      </c>
      <c r="I8" s="85" t="s">
        <v>102</v>
      </c>
      <c r="J8" s="53">
        <v>45999</v>
      </c>
      <c r="K8" s="53">
        <v>46000</v>
      </c>
      <c r="L8" s="53">
        <v>46000.895833333343</v>
      </c>
      <c r="M8" s="35">
        <v>16000</v>
      </c>
      <c r="N8" s="35"/>
      <c r="O8" s="35"/>
      <c r="P8" s="35">
        <v>5900</v>
      </c>
      <c r="Q8" s="35">
        <v>20300</v>
      </c>
      <c r="R8" s="35"/>
      <c r="S8" s="35"/>
      <c r="T8" s="35"/>
      <c r="U8" s="35">
        <v>15000</v>
      </c>
      <c r="V8" s="35"/>
      <c r="W8" s="35"/>
      <c r="X8" s="35"/>
      <c r="Y8" s="120">
        <v>7500</v>
      </c>
      <c r="Z8" s="22">
        <v>0</v>
      </c>
      <c r="AA8" s="35">
        <v>7500</v>
      </c>
      <c r="AB8" s="120"/>
      <c r="AC8" s="35"/>
      <c r="AD8" s="23">
        <v>0</v>
      </c>
      <c r="AE8" s="23">
        <v>0</v>
      </c>
      <c r="AF8" s="35"/>
      <c r="AG8" s="23">
        <v>0</v>
      </c>
      <c r="AH8" s="35"/>
      <c r="AI8" s="35">
        <v>5300</v>
      </c>
      <c r="AJ8" s="23">
        <v>0</v>
      </c>
      <c r="AK8" s="23">
        <v>0</v>
      </c>
      <c r="AL8" s="23">
        <v>0</v>
      </c>
      <c r="AM8" s="120"/>
      <c r="AN8" s="120"/>
      <c r="AO8" s="120"/>
      <c r="AP8" s="120"/>
      <c r="AQ8" s="120"/>
      <c r="AR8" s="23">
        <v>0</v>
      </c>
      <c r="AS8" s="35"/>
      <c r="AT8" s="35"/>
      <c r="AU8" s="23">
        <v>0</v>
      </c>
      <c r="AV8" s="21">
        <v>0</v>
      </c>
      <c r="AW8" s="35"/>
      <c r="AX8" s="35"/>
      <c r="AY8" s="23">
        <v>0</v>
      </c>
      <c r="AZ8" s="23">
        <v>0</v>
      </c>
      <c r="BA8" s="23">
        <v>0</v>
      </c>
      <c r="BB8" s="120"/>
      <c r="BC8" s="21">
        <v>0</v>
      </c>
      <c r="BD8" s="143">
        <v>43000</v>
      </c>
      <c r="BE8" s="119">
        <v>45999</v>
      </c>
      <c r="BF8" s="119">
        <v>46008</v>
      </c>
      <c r="BG8" s="48">
        <v>0.69767441860465118</v>
      </c>
      <c r="BH8" s="95" t="s">
        <v>115</v>
      </c>
      <c r="BI8" s="50"/>
      <c r="BJ8" s="141">
        <v>17.254916485948211</v>
      </c>
      <c r="BK8" s="141">
        <v>9.3469938317705115</v>
      </c>
      <c r="BL8" s="141">
        <v>5.5117412014619021</v>
      </c>
      <c r="BM8" s="141">
        <v>4.9807599151350912</v>
      </c>
      <c r="BN8" s="141">
        <v>0.94999998980253408</v>
      </c>
      <c r="BO8" s="141">
        <v>0.87088165304597698</v>
      </c>
      <c r="BP8" s="142">
        <v>6505.4922602638308</v>
      </c>
      <c r="BQ8" s="142">
        <v>5956.8307843484172</v>
      </c>
      <c r="BR8" s="142">
        <v>5642.8595439650944</v>
      </c>
      <c r="BS8" s="113">
        <v>0.25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26">
        <v>-0.1219396100789059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20">
        <v>1799.999999997905</v>
      </c>
      <c r="CH8" s="32">
        <v>0</v>
      </c>
      <c r="CI8" s="32">
        <v>0</v>
      </c>
      <c r="CJ8" s="32">
        <v>0</v>
      </c>
      <c r="CK8" s="32">
        <v>0</v>
      </c>
    </row>
    <row r="9" spans="1:89">
      <c r="A9" s="236">
        <v>6</v>
      </c>
      <c r="B9" s="33">
        <v>0</v>
      </c>
      <c r="C9" s="144">
        <v>45992</v>
      </c>
      <c r="D9" s="244" t="s">
        <v>97</v>
      </c>
      <c r="E9" s="15" t="s">
        <v>98</v>
      </c>
      <c r="F9" s="85" t="s">
        <v>141</v>
      </c>
      <c r="G9" s="85" t="s">
        <v>128</v>
      </c>
      <c r="H9" s="60" t="s">
        <v>371</v>
      </c>
      <c r="I9" s="85" t="s">
        <v>102</v>
      </c>
      <c r="J9" s="53">
        <v>46000</v>
      </c>
      <c r="K9" s="53">
        <v>46001</v>
      </c>
      <c r="L9" s="53">
        <v>46002.944444444453</v>
      </c>
      <c r="M9" s="35"/>
      <c r="N9" s="35"/>
      <c r="O9" s="35"/>
      <c r="P9" s="35"/>
      <c r="Q9" s="35">
        <v>65000</v>
      </c>
      <c r="R9" s="35"/>
      <c r="S9" s="35"/>
      <c r="T9" s="35"/>
      <c r="U9" s="35"/>
      <c r="V9" s="35"/>
      <c r="W9" s="35"/>
      <c r="X9" s="35"/>
      <c r="Y9" s="120"/>
      <c r="Z9" s="22">
        <v>0</v>
      </c>
      <c r="AA9" s="35">
        <v>0</v>
      </c>
      <c r="AB9" s="120"/>
      <c r="AC9" s="35"/>
      <c r="AD9" s="23">
        <v>0</v>
      </c>
      <c r="AE9" s="23">
        <v>0</v>
      </c>
      <c r="AF9" s="35"/>
      <c r="AG9" s="23">
        <v>0</v>
      </c>
      <c r="AH9" s="35"/>
      <c r="AI9" s="35"/>
      <c r="AJ9" s="23">
        <v>0</v>
      </c>
      <c r="AK9" s="23">
        <v>0</v>
      </c>
      <c r="AL9" s="23">
        <v>0</v>
      </c>
      <c r="AM9" s="120"/>
      <c r="AN9" s="120"/>
      <c r="AO9" s="120"/>
      <c r="AP9" s="120"/>
      <c r="AQ9" s="120"/>
      <c r="AR9" s="23">
        <v>0</v>
      </c>
      <c r="AS9" s="35">
        <v>5000</v>
      </c>
      <c r="AT9" s="35"/>
      <c r="AU9" s="23">
        <v>0</v>
      </c>
      <c r="AV9" s="21">
        <v>0</v>
      </c>
      <c r="AW9" s="35"/>
      <c r="AX9" s="35"/>
      <c r="AY9" s="23">
        <v>0</v>
      </c>
      <c r="AZ9" s="23">
        <v>0</v>
      </c>
      <c r="BA9" s="23">
        <v>0</v>
      </c>
      <c r="BB9" s="120"/>
      <c r="BC9" s="21">
        <v>0</v>
      </c>
      <c r="BD9" s="143">
        <v>70000</v>
      </c>
      <c r="BE9" s="119">
        <v>46000</v>
      </c>
      <c r="BF9" s="119">
        <v>46009</v>
      </c>
      <c r="BG9" s="43">
        <v>0.5714285714285714</v>
      </c>
      <c r="BH9" s="95" t="s">
        <v>115</v>
      </c>
      <c r="BI9" s="50"/>
      <c r="BJ9" s="141">
        <v>24.954749732532509</v>
      </c>
      <c r="BK9" s="141">
        <v>12.73465272969848</v>
      </c>
      <c r="BL9" s="141">
        <v>10.733307130184549</v>
      </c>
      <c r="BM9" s="141">
        <v>9.549313922461188</v>
      </c>
      <c r="BN9" s="141">
        <v>1.535695147458302</v>
      </c>
      <c r="BO9" s="141">
        <v>1.436529561941243</v>
      </c>
      <c r="BP9" s="142">
        <v>5670.4105645957698</v>
      </c>
      <c r="BQ9" s="142">
        <v>4899.1049644119412</v>
      </c>
      <c r="BR9" s="142">
        <v>4571.8253095288246</v>
      </c>
      <c r="BS9" s="113">
        <v>0.73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26">
        <v>-0.27729675293729611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20">
        <v>1500.0000000006719</v>
      </c>
      <c r="CH9" s="31">
        <v>0</v>
      </c>
      <c r="CI9" s="31">
        <v>0</v>
      </c>
      <c r="CJ9" s="31">
        <v>0</v>
      </c>
      <c r="CK9" s="31">
        <v>0</v>
      </c>
    </row>
    <row r="10" spans="1:89">
      <c r="A10" s="236">
        <v>7</v>
      </c>
      <c r="B10" s="33">
        <v>0</v>
      </c>
      <c r="C10" s="144">
        <v>45992</v>
      </c>
      <c r="D10" s="244" t="s">
        <v>97</v>
      </c>
      <c r="E10" s="15" t="s">
        <v>98</v>
      </c>
      <c r="F10" s="85" t="s">
        <v>141</v>
      </c>
      <c r="G10" s="85" t="s">
        <v>327</v>
      </c>
      <c r="H10" s="60" t="s">
        <v>372</v>
      </c>
      <c r="I10" s="85" t="s">
        <v>102</v>
      </c>
      <c r="J10" s="53">
        <v>46002</v>
      </c>
      <c r="K10" s="53">
        <v>46003</v>
      </c>
      <c r="L10" s="53">
        <v>46004.145833333343</v>
      </c>
      <c r="M10" s="35"/>
      <c r="N10" s="35"/>
      <c r="O10" s="35"/>
      <c r="P10" s="35"/>
      <c r="Q10" s="35">
        <v>30000</v>
      </c>
      <c r="R10" s="35"/>
      <c r="S10" s="35"/>
      <c r="T10" s="35"/>
      <c r="U10" s="35"/>
      <c r="V10" s="35"/>
      <c r="W10" s="35"/>
      <c r="X10" s="35"/>
      <c r="Y10" s="120"/>
      <c r="Z10" s="22">
        <v>0</v>
      </c>
      <c r="AA10" s="35">
        <v>0</v>
      </c>
      <c r="AB10" s="120">
        <v>15000</v>
      </c>
      <c r="AC10" s="35"/>
      <c r="AD10" s="23">
        <v>0</v>
      </c>
      <c r="AE10" s="23">
        <v>0</v>
      </c>
      <c r="AF10" s="35"/>
      <c r="AG10" s="23">
        <v>0</v>
      </c>
      <c r="AH10" s="35"/>
      <c r="AI10" s="35"/>
      <c r="AJ10" s="23">
        <v>0</v>
      </c>
      <c r="AK10" s="23">
        <v>0</v>
      </c>
      <c r="AL10" s="23">
        <v>0</v>
      </c>
      <c r="AM10" s="120"/>
      <c r="AN10" s="120"/>
      <c r="AO10" s="120"/>
      <c r="AP10" s="120">
        <v>5000</v>
      </c>
      <c r="AQ10" s="120"/>
      <c r="AR10" s="23">
        <v>0</v>
      </c>
      <c r="AS10" s="35">
        <v>5000</v>
      </c>
      <c r="AT10" s="35"/>
      <c r="AU10" s="23">
        <v>0</v>
      </c>
      <c r="AV10" s="21">
        <v>0</v>
      </c>
      <c r="AW10" s="35"/>
      <c r="AX10" s="35"/>
      <c r="AY10" s="23">
        <v>0</v>
      </c>
      <c r="AZ10" s="23">
        <v>0</v>
      </c>
      <c r="BA10" s="23">
        <v>0</v>
      </c>
      <c r="BB10" s="120"/>
      <c r="BC10" s="21">
        <v>0</v>
      </c>
      <c r="BD10" s="143">
        <v>55000</v>
      </c>
      <c r="BE10" s="119">
        <v>46002</v>
      </c>
      <c r="BF10" s="119">
        <v>46011</v>
      </c>
      <c r="BG10" s="48">
        <v>1</v>
      </c>
      <c r="BH10" s="95" t="s">
        <v>115</v>
      </c>
      <c r="BI10" s="50"/>
      <c r="BJ10" s="141">
        <v>15.588573660359121</v>
      </c>
      <c r="BK10" s="141">
        <v>10.588573660359121</v>
      </c>
      <c r="BL10" s="141">
        <v>5.6717216192987463</v>
      </c>
      <c r="BM10" s="141">
        <v>5.3545517758296368</v>
      </c>
      <c r="BN10" s="141">
        <v>2.402073873475806</v>
      </c>
      <c r="BO10" s="141">
        <v>2.2677468656305662</v>
      </c>
      <c r="BP10" s="142">
        <v>6263.8937799025944</v>
      </c>
      <c r="BQ10" s="142">
        <v>5913.6089205542839</v>
      </c>
      <c r="BR10" s="142">
        <v>5610.8796848932634</v>
      </c>
      <c r="BS10" s="113">
        <v>0.51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26">
        <v>-0.81479675293812759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20">
        <v>1800</v>
      </c>
      <c r="CH10" s="32">
        <v>0</v>
      </c>
      <c r="CI10" s="32">
        <v>0</v>
      </c>
      <c r="CJ10" s="32">
        <v>0</v>
      </c>
      <c r="CK10" s="32">
        <v>0</v>
      </c>
    </row>
    <row r="11" spans="1:89">
      <c r="A11" s="236">
        <v>8</v>
      </c>
      <c r="B11" s="33">
        <v>0</v>
      </c>
      <c r="C11" s="144">
        <v>45992</v>
      </c>
      <c r="D11" s="244" t="s">
        <v>133</v>
      </c>
      <c r="E11" s="15" t="s">
        <v>98</v>
      </c>
      <c r="F11" s="85" t="s">
        <v>141</v>
      </c>
      <c r="G11" s="85" t="s">
        <v>269</v>
      </c>
      <c r="H11" s="60" t="s">
        <v>373</v>
      </c>
      <c r="I11" s="85" t="s">
        <v>102</v>
      </c>
      <c r="J11" s="53">
        <v>46004</v>
      </c>
      <c r="K11" s="53">
        <v>46005</v>
      </c>
      <c r="L11" s="53">
        <v>46006.416666666657</v>
      </c>
      <c r="M11" s="35">
        <v>9000</v>
      </c>
      <c r="N11" s="35">
        <v>7000</v>
      </c>
      <c r="O11" s="35"/>
      <c r="P11" s="35"/>
      <c r="Q11" s="35">
        <v>30700</v>
      </c>
      <c r="R11" s="35"/>
      <c r="S11" s="35"/>
      <c r="T11" s="35"/>
      <c r="U11" s="35">
        <v>7500</v>
      </c>
      <c r="V11" s="35"/>
      <c r="W11" s="35"/>
      <c r="X11" s="35"/>
      <c r="Y11" s="120"/>
      <c r="Z11" s="22">
        <v>0</v>
      </c>
      <c r="AA11" s="35">
        <v>0</v>
      </c>
      <c r="AB11" s="120"/>
      <c r="AC11" s="35"/>
      <c r="AD11" s="23">
        <v>0</v>
      </c>
      <c r="AE11" s="23">
        <v>0</v>
      </c>
      <c r="AF11" s="35"/>
      <c r="AG11" s="23">
        <v>0</v>
      </c>
      <c r="AH11" s="35">
        <v>5300</v>
      </c>
      <c r="AI11" s="35"/>
      <c r="AJ11" s="23">
        <v>0</v>
      </c>
      <c r="AK11" s="23">
        <v>0</v>
      </c>
      <c r="AL11" s="23">
        <v>0</v>
      </c>
      <c r="AM11" s="120">
        <v>7500</v>
      </c>
      <c r="AN11" s="120"/>
      <c r="AO11" s="120"/>
      <c r="AP11" s="120"/>
      <c r="AQ11" s="120"/>
      <c r="AR11" s="23">
        <v>0</v>
      </c>
      <c r="AS11" s="35"/>
      <c r="AT11" s="35"/>
      <c r="AU11" s="23">
        <v>0</v>
      </c>
      <c r="AV11" s="21">
        <v>0</v>
      </c>
      <c r="AW11" s="35"/>
      <c r="AX11" s="35"/>
      <c r="AY11" s="23">
        <v>0</v>
      </c>
      <c r="AZ11" s="23">
        <v>0</v>
      </c>
      <c r="BA11" s="23">
        <v>0</v>
      </c>
      <c r="BB11" s="120"/>
      <c r="BC11" s="21">
        <v>0</v>
      </c>
      <c r="BD11" s="143">
        <v>68000</v>
      </c>
      <c r="BE11" s="119">
        <v>46004</v>
      </c>
      <c r="BF11" s="119">
        <v>46013</v>
      </c>
      <c r="BG11" s="43">
        <v>0.55147058823529416</v>
      </c>
      <c r="BH11" s="95" t="s">
        <v>115</v>
      </c>
      <c r="BI11" s="50"/>
      <c r="BJ11" s="141">
        <v>23.039571837558441</v>
      </c>
      <c r="BK11" s="141">
        <v>11.501783017230659</v>
      </c>
      <c r="BL11" s="141">
        <v>6.3054955484701676</v>
      </c>
      <c r="BM11" s="141">
        <v>5.5083395915563669</v>
      </c>
      <c r="BN11" s="141">
        <v>1.5189824617690091</v>
      </c>
      <c r="BO11" s="141">
        <v>1.4221546385923221</v>
      </c>
      <c r="BP11" s="142">
        <v>6110.3498546369938</v>
      </c>
      <c r="BQ11" s="142">
        <v>5353.0039823983161</v>
      </c>
      <c r="BR11" s="142">
        <v>5021.3117636655761</v>
      </c>
      <c r="BS11" s="113">
        <v>0.86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26">
        <v>-0.74829511501128709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20">
        <v>1800</v>
      </c>
      <c r="CH11" s="31">
        <v>0</v>
      </c>
      <c r="CI11" s="31">
        <v>0</v>
      </c>
      <c r="CJ11" s="31">
        <v>0</v>
      </c>
      <c r="CK11" s="31">
        <v>0</v>
      </c>
    </row>
    <row r="12" spans="1:89">
      <c r="A12" s="236">
        <v>9</v>
      </c>
      <c r="B12" s="33">
        <v>0</v>
      </c>
      <c r="C12" s="144">
        <v>45992</v>
      </c>
      <c r="D12" s="244" t="s">
        <v>97</v>
      </c>
      <c r="E12" s="15" t="s">
        <v>98</v>
      </c>
      <c r="F12" s="85" t="s">
        <v>141</v>
      </c>
      <c r="G12" s="85" t="s">
        <v>145</v>
      </c>
      <c r="H12" s="60" t="s">
        <v>374</v>
      </c>
      <c r="I12" s="85" t="s">
        <v>102</v>
      </c>
      <c r="J12" s="53">
        <v>46005</v>
      </c>
      <c r="K12" s="53">
        <v>46007</v>
      </c>
      <c r="L12" s="53">
        <v>46008.458333333343</v>
      </c>
      <c r="M12" s="35">
        <v>40000</v>
      </c>
      <c r="N12" s="35"/>
      <c r="O12" s="35"/>
      <c r="P12" s="35"/>
      <c r="Q12" s="35"/>
      <c r="R12" s="35"/>
      <c r="S12" s="35"/>
      <c r="T12" s="35"/>
      <c r="U12" s="35">
        <v>7500</v>
      </c>
      <c r="V12" s="35"/>
      <c r="W12" s="35"/>
      <c r="X12" s="35"/>
      <c r="Y12" s="120"/>
      <c r="Z12" s="22">
        <v>0</v>
      </c>
      <c r="AA12" s="35">
        <v>0</v>
      </c>
      <c r="AB12" s="120"/>
      <c r="AC12" s="35"/>
      <c r="AD12" s="23">
        <v>0</v>
      </c>
      <c r="AE12" s="23">
        <v>0</v>
      </c>
      <c r="AF12" s="35"/>
      <c r="AG12" s="23">
        <v>0</v>
      </c>
      <c r="AH12" s="35"/>
      <c r="AI12" s="35"/>
      <c r="AJ12" s="23">
        <v>0</v>
      </c>
      <c r="AK12" s="23">
        <v>0</v>
      </c>
      <c r="AL12" s="23">
        <v>0</v>
      </c>
      <c r="AM12" s="120"/>
      <c r="AN12" s="120"/>
      <c r="AO12" s="120"/>
      <c r="AP12" s="120"/>
      <c r="AQ12" s="120"/>
      <c r="AR12" s="23">
        <v>0</v>
      </c>
      <c r="AS12" s="35"/>
      <c r="AT12" s="35"/>
      <c r="AU12" s="23">
        <v>0</v>
      </c>
      <c r="AV12" s="21">
        <v>0</v>
      </c>
      <c r="AW12" s="35"/>
      <c r="AX12" s="35"/>
      <c r="AY12" s="23">
        <v>0</v>
      </c>
      <c r="AZ12" s="23">
        <v>0</v>
      </c>
      <c r="BA12" s="23">
        <v>0</v>
      </c>
      <c r="BB12" s="120"/>
      <c r="BC12" s="21">
        <v>0</v>
      </c>
      <c r="BD12" s="143">
        <v>70000</v>
      </c>
      <c r="BE12" s="97">
        <v>46005</v>
      </c>
      <c r="BF12" s="97">
        <v>46014</v>
      </c>
      <c r="BG12" s="57">
        <v>0.6785714285714286</v>
      </c>
      <c r="BH12" s="95" t="s">
        <v>115</v>
      </c>
      <c r="BI12" s="50"/>
      <c r="BJ12" s="141">
        <v>22.178411176739839</v>
      </c>
      <c r="BK12" s="141">
        <v>11.242211842764741</v>
      </c>
      <c r="BL12" s="141">
        <v>5.5470036204190372</v>
      </c>
      <c r="BM12" s="141">
        <v>4.7802947559680504</v>
      </c>
      <c r="BN12" s="141">
        <v>1.8009353304335469</v>
      </c>
      <c r="BO12" s="141">
        <v>1.6907638004517731</v>
      </c>
      <c r="BP12" s="142">
        <v>6162.9583446253928</v>
      </c>
      <c r="BQ12" s="142">
        <v>5445.3257253695938</v>
      </c>
      <c r="BR12" s="142">
        <v>5118.6649542279947</v>
      </c>
      <c r="BS12" s="113">
        <v>1.7367836532527601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26">
        <v>-1.1052685174931249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20">
        <v>1800</v>
      </c>
      <c r="CH12" s="32">
        <v>0</v>
      </c>
      <c r="CI12" s="32">
        <v>0</v>
      </c>
      <c r="CJ12" s="32">
        <v>0</v>
      </c>
      <c r="CK12" s="32">
        <v>0</v>
      </c>
    </row>
    <row r="13" spans="1:89">
      <c r="A13" s="236">
        <v>10</v>
      </c>
      <c r="B13" s="33">
        <v>0</v>
      </c>
      <c r="C13" s="144">
        <v>45992</v>
      </c>
      <c r="D13" s="244" t="s">
        <v>97</v>
      </c>
      <c r="E13" s="15" t="s">
        <v>98</v>
      </c>
      <c r="F13" s="85" t="s">
        <v>141</v>
      </c>
      <c r="G13" s="85" t="s">
        <v>261</v>
      </c>
      <c r="H13" s="60" t="s">
        <v>375</v>
      </c>
      <c r="I13" s="85" t="s">
        <v>102</v>
      </c>
      <c r="J13" s="53">
        <v>46006</v>
      </c>
      <c r="K13" s="53">
        <v>46008.62499916667</v>
      </c>
      <c r="L13" s="53">
        <v>46009.666665833327</v>
      </c>
      <c r="M13" s="35">
        <v>3000</v>
      </c>
      <c r="N13" s="35"/>
      <c r="O13" s="35"/>
      <c r="P13" s="35"/>
      <c r="Q13" s="35">
        <v>0</v>
      </c>
      <c r="R13" s="35">
        <v>63000</v>
      </c>
      <c r="S13" s="35"/>
      <c r="T13" s="35"/>
      <c r="U13" s="35">
        <v>7500</v>
      </c>
      <c r="V13" s="35"/>
      <c r="W13" s="35"/>
      <c r="X13" s="35"/>
      <c r="Y13" s="120"/>
      <c r="Z13" s="22">
        <v>0</v>
      </c>
      <c r="AA13" s="35">
        <v>0</v>
      </c>
      <c r="AB13" s="120"/>
      <c r="AC13" s="35"/>
      <c r="AD13" s="23">
        <v>0</v>
      </c>
      <c r="AE13" s="23">
        <v>0</v>
      </c>
      <c r="AF13" s="35"/>
      <c r="AG13" s="23">
        <v>0</v>
      </c>
      <c r="AH13" s="35"/>
      <c r="AI13" s="35"/>
      <c r="AJ13" s="23">
        <v>0</v>
      </c>
      <c r="AK13" s="23">
        <v>0</v>
      </c>
      <c r="AL13" s="23">
        <v>0</v>
      </c>
      <c r="AM13" s="120"/>
      <c r="AN13" s="120"/>
      <c r="AO13" s="120"/>
      <c r="AP13" s="120"/>
      <c r="AQ13" s="120"/>
      <c r="AR13" s="23">
        <v>0</v>
      </c>
      <c r="AS13" s="35"/>
      <c r="AT13" s="35"/>
      <c r="AU13" s="23">
        <v>0</v>
      </c>
      <c r="AV13" s="21">
        <v>0</v>
      </c>
      <c r="AW13" s="35"/>
      <c r="AX13" s="35"/>
      <c r="AY13" s="23">
        <v>0</v>
      </c>
      <c r="AZ13" s="23">
        <v>0</v>
      </c>
      <c r="BA13" s="23">
        <v>0</v>
      </c>
      <c r="BB13" s="120"/>
      <c r="BC13" s="21">
        <v>0</v>
      </c>
      <c r="BD13" s="143">
        <v>50000</v>
      </c>
      <c r="BE13" s="119">
        <v>46006</v>
      </c>
      <c r="BF13" s="119">
        <v>46015</v>
      </c>
      <c r="BG13" s="48">
        <v>0.74399999999999999</v>
      </c>
      <c r="BH13" s="95" t="s">
        <v>115</v>
      </c>
      <c r="BI13" s="50"/>
      <c r="BJ13" s="141">
        <v>17.26844917396221</v>
      </c>
      <c r="BK13" s="141">
        <v>10.718873134393229</v>
      </c>
      <c r="BL13" s="141">
        <v>5.1730764829223874</v>
      </c>
      <c r="BM13" s="141">
        <v>4.7560984331912897</v>
      </c>
      <c r="BN13" s="141">
        <v>1.406868324267307</v>
      </c>
      <c r="BO13" s="141">
        <v>1.3152558497515561</v>
      </c>
      <c r="BP13" s="142">
        <v>6298.9404822265406</v>
      </c>
      <c r="BQ13" s="142">
        <v>5847.9423041453474</v>
      </c>
      <c r="BR13" s="142">
        <v>5538.934271729956</v>
      </c>
      <c r="BS13" s="113">
        <v>7.4999999999999997E-2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26">
        <v>-0.5689714065815622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20">
        <v>2000</v>
      </c>
      <c r="CH13" s="31">
        <v>0.35764891244269242</v>
      </c>
      <c r="CI13" s="31">
        <v>-0.75374756418047939</v>
      </c>
      <c r="CJ13" s="31">
        <v>-0.65980850589965079</v>
      </c>
      <c r="CK13" s="31">
        <v>-0.69202352941171297</v>
      </c>
    </row>
    <row r="14" spans="1:89">
      <c r="A14" s="236">
        <v>11</v>
      </c>
      <c r="B14" s="33">
        <v>0</v>
      </c>
      <c r="C14" s="144">
        <v>45992</v>
      </c>
      <c r="D14" s="244" t="s">
        <v>97</v>
      </c>
      <c r="E14" s="15" t="s">
        <v>98</v>
      </c>
      <c r="F14" s="85" t="s">
        <v>141</v>
      </c>
      <c r="G14" s="85" t="s">
        <v>175</v>
      </c>
      <c r="H14" s="60" t="s">
        <v>376</v>
      </c>
      <c r="I14" s="85" t="s">
        <v>102</v>
      </c>
      <c r="J14" s="53">
        <v>46007</v>
      </c>
      <c r="K14" s="53">
        <v>46010</v>
      </c>
      <c r="L14" s="53">
        <v>46011.416666666657</v>
      </c>
      <c r="M14" s="35">
        <v>9000</v>
      </c>
      <c r="N14" s="35">
        <v>3000</v>
      </c>
      <c r="O14" s="35"/>
      <c r="P14" s="35"/>
      <c r="Q14" s="35">
        <v>36900</v>
      </c>
      <c r="R14" s="35"/>
      <c r="S14" s="35"/>
      <c r="T14" s="35"/>
      <c r="U14" s="35">
        <v>7500</v>
      </c>
      <c r="V14" s="35"/>
      <c r="W14" s="35"/>
      <c r="X14" s="35"/>
      <c r="Y14" s="120"/>
      <c r="Z14" s="22">
        <v>0</v>
      </c>
      <c r="AA14" s="35">
        <v>0</v>
      </c>
      <c r="AB14" s="120"/>
      <c r="AC14" s="35"/>
      <c r="AD14" s="23">
        <v>0</v>
      </c>
      <c r="AE14" s="23">
        <v>0</v>
      </c>
      <c r="AF14" s="35"/>
      <c r="AG14" s="23">
        <v>0</v>
      </c>
      <c r="AH14" s="35"/>
      <c r="AI14" s="35">
        <v>5300</v>
      </c>
      <c r="AJ14" s="23">
        <v>0</v>
      </c>
      <c r="AK14" s="23">
        <v>0</v>
      </c>
      <c r="AL14" s="23">
        <v>0</v>
      </c>
      <c r="AM14" s="120"/>
      <c r="AN14" s="120"/>
      <c r="AO14" s="120">
        <v>5300</v>
      </c>
      <c r="AP14" s="120"/>
      <c r="AQ14" s="120"/>
      <c r="AR14" s="23">
        <v>0</v>
      </c>
      <c r="AS14" s="35"/>
      <c r="AT14" s="35"/>
      <c r="AU14" s="23">
        <v>0</v>
      </c>
      <c r="AV14" s="21">
        <v>0</v>
      </c>
      <c r="AW14" s="35"/>
      <c r="AX14" s="35"/>
      <c r="AY14" s="23">
        <v>0</v>
      </c>
      <c r="AZ14" s="23">
        <v>0</v>
      </c>
      <c r="BA14" s="23">
        <v>0</v>
      </c>
      <c r="BB14" s="120"/>
      <c r="BC14" s="21">
        <v>0</v>
      </c>
      <c r="BD14" s="143">
        <v>68000</v>
      </c>
      <c r="BE14" s="119">
        <v>46007</v>
      </c>
      <c r="BF14" s="119">
        <v>46016</v>
      </c>
      <c r="BG14" s="43">
        <v>0.70147058823529407</v>
      </c>
      <c r="BH14" s="95" t="s">
        <v>115</v>
      </c>
      <c r="BI14" s="50"/>
      <c r="BJ14" s="141">
        <v>22.254474578380972</v>
      </c>
      <c r="BK14" s="141">
        <v>11.693796367906771</v>
      </c>
      <c r="BL14" s="141">
        <v>7.1255477857928966</v>
      </c>
      <c r="BM14" s="141">
        <v>6.3429584980455207</v>
      </c>
      <c r="BN14" s="141">
        <v>1.7942957264011461</v>
      </c>
      <c r="BO14" s="141">
        <v>1.6800828509095991</v>
      </c>
      <c r="BP14" s="142">
        <v>5968.7606895328236</v>
      </c>
      <c r="BQ14" s="142">
        <v>5280.1578537291452</v>
      </c>
      <c r="BR14" s="142">
        <v>4955.9895210216609</v>
      </c>
      <c r="BS14" s="114">
        <v>0.69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26">
        <v>-0.65875412592733185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20">
        <v>2000</v>
      </c>
      <c r="CH14" s="32">
        <v>0</v>
      </c>
      <c r="CI14" s="32">
        <v>0</v>
      </c>
      <c r="CJ14" s="32">
        <v>0</v>
      </c>
      <c r="CK14" s="32">
        <v>0</v>
      </c>
    </row>
    <row r="15" spans="1:89">
      <c r="A15" s="236">
        <v>12</v>
      </c>
      <c r="B15" s="33">
        <v>0</v>
      </c>
      <c r="C15" s="145">
        <v>45992</v>
      </c>
      <c r="D15" s="244" t="s">
        <v>148</v>
      </c>
      <c r="E15" s="15" t="s">
        <v>98</v>
      </c>
      <c r="F15" s="85" t="s">
        <v>141</v>
      </c>
      <c r="G15" s="85" t="s">
        <v>149</v>
      </c>
      <c r="H15" s="60" t="s">
        <v>377</v>
      </c>
      <c r="I15" s="85" t="s">
        <v>102</v>
      </c>
      <c r="J15" s="53">
        <v>46009</v>
      </c>
      <c r="K15" s="53">
        <v>46011.562499583342</v>
      </c>
      <c r="L15" s="53">
        <v>46012.708332916663</v>
      </c>
      <c r="M15" s="35">
        <v>5000</v>
      </c>
      <c r="N15" s="35"/>
      <c r="O15" s="35"/>
      <c r="P15" s="35"/>
      <c r="Q15" s="35">
        <v>0</v>
      </c>
      <c r="R15" s="35">
        <v>15000</v>
      </c>
      <c r="S15" s="35">
        <v>22500</v>
      </c>
      <c r="T15" s="35"/>
      <c r="U15" s="35">
        <v>7500</v>
      </c>
      <c r="V15" s="35"/>
      <c r="W15" s="35"/>
      <c r="X15" s="35"/>
      <c r="Y15" s="120"/>
      <c r="Z15" s="22">
        <v>0</v>
      </c>
      <c r="AA15" s="35">
        <v>0</v>
      </c>
      <c r="AB15" s="120"/>
      <c r="AC15" s="35"/>
      <c r="AD15" s="23">
        <v>0</v>
      </c>
      <c r="AE15" s="23">
        <v>0</v>
      </c>
      <c r="AF15" s="35"/>
      <c r="AG15" s="23">
        <v>0</v>
      </c>
      <c r="AH15" s="35"/>
      <c r="AI15" s="35"/>
      <c r="AJ15" s="23">
        <v>0</v>
      </c>
      <c r="AK15" s="23">
        <v>0</v>
      </c>
      <c r="AL15" s="23">
        <v>0</v>
      </c>
      <c r="AM15" s="120"/>
      <c r="AN15" s="120"/>
      <c r="AO15" s="120"/>
      <c r="AP15" s="120"/>
      <c r="AQ15" s="120"/>
      <c r="AR15" s="23">
        <v>0</v>
      </c>
      <c r="AS15" s="35"/>
      <c r="AT15" s="35"/>
      <c r="AU15" s="23">
        <v>0</v>
      </c>
      <c r="AV15" s="21">
        <v>0</v>
      </c>
      <c r="AW15" s="35"/>
      <c r="AX15" s="35"/>
      <c r="AY15" s="23">
        <v>0</v>
      </c>
      <c r="AZ15" s="23">
        <v>0</v>
      </c>
      <c r="BA15" s="23">
        <v>0</v>
      </c>
      <c r="BB15" s="120"/>
      <c r="BC15" s="21">
        <v>0</v>
      </c>
      <c r="BD15" s="143">
        <v>55000</v>
      </c>
      <c r="BE15" s="119">
        <v>46009</v>
      </c>
      <c r="BF15" s="119">
        <v>46018</v>
      </c>
      <c r="BG15" s="48">
        <v>0.54545454545454541</v>
      </c>
      <c r="BH15" s="95" t="s">
        <v>115</v>
      </c>
      <c r="BI15" s="50"/>
      <c r="BJ15" s="141">
        <v>12.60047255940899</v>
      </c>
      <c r="BK15" s="141">
        <v>6.6760268437696304</v>
      </c>
      <c r="BL15" s="141">
        <v>6.1920654672513642</v>
      </c>
      <c r="BM15" s="141">
        <v>5.7978504298455347</v>
      </c>
      <c r="BN15" s="141">
        <v>1.1194039465768311</v>
      </c>
      <c r="BO15" s="141">
        <v>1.0499999407077689</v>
      </c>
      <c r="BP15" s="142">
        <v>6775.5789851705658</v>
      </c>
      <c r="BQ15" s="142">
        <v>6345.3565086641738</v>
      </c>
      <c r="BR15" s="142">
        <v>6051.3691795508712</v>
      </c>
      <c r="BS15" s="113">
        <v>1.6966692851531819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26">
        <v>-1.1032267038382479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20">
        <v>2000</v>
      </c>
      <c r="CH15" s="31">
        <v>0</v>
      </c>
      <c r="CI15" s="31">
        <v>0</v>
      </c>
      <c r="CJ15" s="31">
        <v>0</v>
      </c>
      <c r="CK15" s="31">
        <v>0</v>
      </c>
    </row>
    <row r="16" spans="1:89">
      <c r="A16" s="236">
        <v>13</v>
      </c>
      <c r="B16" s="33">
        <v>0</v>
      </c>
      <c r="C16" s="144">
        <v>45992</v>
      </c>
      <c r="D16" s="244" t="s">
        <v>97</v>
      </c>
      <c r="E16" s="15" t="s">
        <v>98</v>
      </c>
      <c r="F16" s="85" t="s">
        <v>141</v>
      </c>
      <c r="G16" s="85" t="s">
        <v>165</v>
      </c>
      <c r="H16" s="60" t="s">
        <v>378</v>
      </c>
      <c r="I16" s="85" t="s">
        <v>102</v>
      </c>
      <c r="J16" s="53">
        <v>46010</v>
      </c>
      <c r="K16" s="53">
        <v>46013</v>
      </c>
      <c r="L16" s="53">
        <v>46014.5625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20"/>
      <c r="Z16" s="22"/>
      <c r="AA16" s="35"/>
      <c r="AB16" s="120"/>
      <c r="AC16" s="35"/>
      <c r="AD16" s="23"/>
      <c r="AE16" s="23"/>
      <c r="AF16" s="35"/>
      <c r="AG16" s="24"/>
      <c r="AH16" s="35"/>
      <c r="AI16" s="35"/>
      <c r="AJ16" s="23"/>
      <c r="AK16" s="23"/>
      <c r="AL16" s="23"/>
      <c r="AM16" s="120"/>
      <c r="AN16" s="120"/>
      <c r="AO16" s="120"/>
      <c r="AP16" s="120"/>
      <c r="AQ16" s="120"/>
      <c r="AR16" s="23"/>
      <c r="AS16" s="35"/>
      <c r="AT16" s="35"/>
      <c r="AU16" s="23"/>
      <c r="AV16" s="21"/>
      <c r="AW16" s="35"/>
      <c r="AX16" s="35"/>
      <c r="AY16" s="23"/>
      <c r="AZ16" s="23"/>
      <c r="BA16" s="23"/>
      <c r="BB16" s="120"/>
      <c r="BC16" s="21"/>
      <c r="BD16" s="143">
        <v>75000</v>
      </c>
      <c r="BE16" s="119">
        <v>46010</v>
      </c>
      <c r="BF16" s="119">
        <v>46019</v>
      </c>
      <c r="BG16" s="43">
        <v>0.6</v>
      </c>
      <c r="BH16" s="95" t="s">
        <v>115</v>
      </c>
      <c r="BI16" s="50"/>
      <c r="BJ16" s="141">
        <v>13.62448585245594</v>
      </c>
      <c r="BK16" s="141">
        <v>8.2338231400879103</v>
      </c>
      <c r="BL16" s="141">
        <v>6.7669058042594816</v>
      </c>
      <c r="BM16" s="141">
        <v>6.3573435770674322</v>
      </c>
      <c r="BN16" s="141">
        <v>0.8938509574596416</v>
      </c>
      <c r="BO16" s="141">
        <v>0.84239338293863741</v>
      </c>
      <c r="BP16" s="142">
        <v>6610.3182752874018</v>
      </c>
      <c r="BQ16" s="142">
        <v>6225.3309911684901</v>
      </c>
      <c r="BR16" s="142">
        <v>5941.6722648503073</v>
      </c>
      <c r="BS16" s="114"/>
      <c r="BT16" s="16"/>
      <c r="BU16" s="16"/>
      <c r="BV16" s="16"/>
      <c r="BW16" s="16"/>
      <c r="BX16" s="16"/>
      <c r="BY16" s="16"/>
      <c r="BZ16" s="26"/>
      <c r="CA16" s="16"/>
      <c r="CB16" s="16"/>
      <c r="CC16" s="16"/>
      <c r="CD16" s="16"/>
      <c r="CE16" s="16"/>
      <c r="CF16" s="16"/>
      <c r="CG16" s="20"/>
      <c r="CH16" s="32"/>
      <c r="CI16" s="32"/>
      <c r="CJ16" s="32"/>
      <c r="CK16" s="32"/>
    </row>
    <row r="17" spans="1:89">
      <c r="A17" s="236">
        <v>14</v>
      </c>
      <c r="B17" s="33">
        <v>0</v>
      </c>
      <c r="C17" s="144">
        <v>45992</v>
      </c>
      <c r="D17" s="244" t="s">
        <v>97</v>
      </c>
      <c r="E17" s="15" t="s">
        <v>98</v>
      </c>
      <c r="F17" s="85" t="s">
        <v>141</v>
      </c>
      <c r="G17" s="85" t="s">
        <v>273</v>
      </c>
      <c r="H17" s="60" t="s">
        <v>379</v>
      </c>
      <c r="I17" s="85" t="s">
        <v>102</v>
      </c>
      <c r="J17" s="53">
        <v>46012</v>
      </c>
      <c r="K17" s="53">
        <v>46015.145832916663</v>
      </c>
      <c r="L17" s="53">
        <v>46016.708332916663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120"/>
      <c r="Z17" s="22"/>
      <c r="AA17" s="35"/>
      <c r="AB17" s="120"/>
      <c r="AC17" s="35"/>
      <c r="AD17" s="23"/>
      <c r="AE17" s="23"/>
      <c r="AF17" s="35"/>
      <c r="AG17" s="23"/>
      <c r="AH17" s="35"/>
      <c r="AI17" s="35"/>
      <c r="AJ17" s="23"/>
      <c r="AK17" s="23"/>
      <c r="AL17" s="23"/>
      <c r="AM17" s="120"/>
      <c r="AN17" s="120"/>
      <c r="AO17" s="120"/>
      <c r="AP17" s="120"/>
      <c r="AQ17" s="120"/>
      <c r="AR17" s="23"/>
      <c r="AS17" s="35"/>
      <c r="AT17" s="35"/>
      <c r="AU17" s="23"/>
      <c r="AV17" s="21"/>
      <c r="AW17" s="35"/>
      <c r="AX17" s="35"/>
      <c r="AY17" s="23"/>
      <c r="AZ17" s="23"/>
      <c r="BA17" s="23"/>
      <c r="BB17" s="120"/>
      <c r="BC17" s="21"/>
      <c r="BD17" s="143">
        <v>75000</v>
      </c>
      <c r="BE17" s="119">
        <v>46012</v>
      </c>
      <c r="BF17" s="119">
        <v>46021</v>
      </c>
      <c r="BG17" s="43">
        <v>1</v>
      </c>
      <c r="BH17" s="95" t="s">
        <v>115</v>
      </c>
      <c r="BI17" s="50"/>
      <c r="BJ17" s="141">
        <v>15.588573660359121</v>
      </c>
      <c r="BK17" s="141">
        <v>10.588573660359121</v>
      </c>
      <c r="BL17" s="141">
        <v>5.6717216192987463</v>
      </c>
      <c r="BM17" s="141">
        <v>5.3545517758296368</v>
      </c>
      <c r="BN17" s="141">
        <v>2.402073873475806</v>
      </c>
      <c r="BO17" s="141">
        <v>2.2677468656305662</v>
      </c>
      <c r="BP17" s="142">
        <v>6263.8937799025944</v>
      </c>
      <c r="BQ17" s="142">
        <v>5913.608920554283</v>
      </c>
      <c r="BR17" s="142">
        <v>5610.8796848932634</v>
      </c>
      <c r="BS17" s="113"/>
      <c r="BT17" s="16"/>
      <c r="BU17" s="16"/>
      <c r="BV17" s="16"/>
      <c r="BW17" s="16"/>
      <c r="BX17" s="16"/>
      <c r="BY17" s="16"/>
      <c r="BZ17" s="26"/>
      <c r="CA17" s="16"/>
      <c r="CB17" s="16"/>
      <c r="CC17" s="16"/>
      <c r="CD17" s="16"/>
      <c r="CE17" s="16"/>
      <c r="CF17" s="16"/>
      <c r="CG17" s="20"/>
      <c r="CH17" s="31"/>
      <c r="CI17" s="31"/>
      <c r="CJ17" s="31"/>
      <c r="CK17" s="31"/>
    </row>
    <row r="18" spans="1:89">
      <c r="A18" s="236">
        <v>15</v>
      </c>
      <c r="B18" s="33">
        <v>0</v>
      </c>
      <c r="C18" s="144">
        <v>45992</v>
      </c>
      <c r="D18" s="244" t="s">
        <v>97</v>
      </c>
      <c r="E18" s="96" t="s">
        <v>179</v>
      </c>
      <c r="F18" s="85" t="s">
        <v>186</v>
      </c>
      <c r="G18" s="85" t="s">
        <v>181</v>
      </c>
      <c r="H18" s="60" t="s">
        <v>380</v>
      </c>
      <c r="I18" s="85" t="s">
        <v>102</v>
      </c>
      <c r="J18" s="53">
        <v>46006</v>
      </c>
      <c r="K18" s="53">
        <v>46008.479166249999</v>
      </c>
      <c r="L18" s="53">
        <v>46008.635416249999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20"/>
      <c r="Z18" s="22"/>
      <c r="AA18" s="35"/>
      <c r="AB18" s="120"/>
      <c r="AC18" s="35"/>
      <c r="AD18" s="23"/>
      <c r="AE18" s="23"/>
      <c r="AF18" s="35"/>
      <c r="AG18" s="23"/>
      <c r="AH18" s="35"/>
      <c r="AI18" s="35"/>
      <c r="AJ18" s="23"/>
      <c r="AK18" s="23"/>
      <c r="AL18" s="23"/>
      <c r="AM18" s="120"/>
      <c r="AN18" s="120"/>
      <c r="AO18" s="120"/>
      <c r="AP18" s="120"/>
      <c r="AQ18" s="120"/>
      <c r="AR18" s="23"/>
      <c r="AS18" s="35"/>
      <c r="AT18" s="35"/>
      <c r="AU18" s="23"/>
      <c r="AV18" s="21"/>
      <c r="AW18" s="35"/>
      <c r="AX18" s="35"/>
      <c r="AY18" s="23"/>
      <c r="AZ18" s="23"/>
      <c r="BA18" s="23"/>
      <c r="BB18" s="120"/>
      <c r="BC18" s="21"/>
      <c r="BD18" s="143">
        <v>7500</v>
      </c>
      <c r="BE18" s="97"/>
      <c r="BF18" s="97"/>
      <c r="BG18" s="43">
        <v>1</v>
      </c>
      <c r="BH18" s="95" t="s">
        <v>115</v>
      </c>
      <c r="BI18" s="50"/>
      <c r="BJ18" s="141">
        <v>15.474889322973871</v>
      </c>
      <c r="BK18" s="141">
        <v>10.474889322973871</v>
      </c>
      <c r="BL18" s="141">
        <v>5.6079695351172942</v>
      </c>
      <c r="BM18" s="141">
        <v>5.2947350114059546</v>
      </c>
      <c r="BN18" s="141">
        <v>2.277234395311154</v>
      </c>
      <c r="BO18" s="141">
        <v>2.149999796781588</v>
      </c>
      <c r="BP18" s="142">
        <v>6282.8763466302971</v>
      </c>
      <c r="BQ18" s="142">
        <v>5931.9804680093084</v>
      </c>
      <c r="BR18" s="142">
        <v>5629.8184723619606</v>
      </c>
      <c r="BS18" s="113"/>
      <c r="BT18" s="16"/>
      <c r="BU18" s="16"/>
      <c r="BV18" s="16"/>
      <c r="BW18" s="16"/>
      <c r="BX18" s="16"/>
      <c r="BY18" s="16"/>
      <c r="BZ18" s="26"/>
      <c r="CA18" s="16"/>
      <c r="CB18" s="16"/>
      <c r="CC18" s="16"/>
      <c r="CD18" s="16"/>
      <c r="CE18" s="16"/>
      <c r="CF18" s="16"/>
      <c r="CG18" s="20"/>
      <c r="CH18" s="32"/>
      <c r="CI18" s="32"/>
      <c r="CJ18" s="32"/>
      <c r="CK18" s="32"/>
    </row>
    <row r="19" spans="1:89">
      <c r="A19" s="236">
        <v>16</v>
      </c>
      <c r="B19" s="33">
        <v>0</v>
      </c>
      <c r="C19" s="144">
        <v>45992</v>
      </c>
      <c r="D19" s="244" t="s">
        <v>97</v>
      </c>
      <c r="E19" s="96" t="s">
        <v>179</v>
      </c>
      <c r="F19" s="85" t="s">
        <v>186</v>
      </c>
      <c r="G19" s="85" t="s">
        <v>181</v>
      </c>
      <c r="H19" s="60" t="s">
        <v>381</v>
      </c>
      <c r="I19" s="85" t="s">
        <v>102</v>
      </c>
      <c r="J19" s="53">
        <v>46011</v>
      </c>
      <c r="K19" s="53">
        <v>46015</v>
      </c>
      <c r="L19" s="53">
        <v>46015.15625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120"/>
      <c r="Z19" s="22"/>
      <c r="AA19" s="35"/>
      <c r="AB19" s="120"/>
      <c r="AC19" s="35"/>
      <c r="AD19" s="23"/>
      <c r="AE19" s="23"/>
      <c r="AF19" s="35"/>
      <c r="AG19" s="23"/>
      <c r="AH19" s="35"/>
      <c r="AI19" s="35"/>
      <c r="AJ19" s="23"/>
      <c r="AK19" s="23"/>
      <c r="AL19" s="23"/>
      <c r="AM19" s="120"/>
      <c r="AN19" s="120"/>
      <c r="AO19" s="120"/>
      <c r="AP19" s="120"/>
      <c r="AQ19" s="120"/>
      <c r="AR19" s="23"/>
      <c r="AS19" s="35"/>
      <c r="AT19" s="35"/>
      <c r="AU19" s="23"/>
      <c r="AV19" s="21"/>
      <c r="AW19" s="35"/>
      <c r="AX19" s="35"/>
      <c r="AY19" s="23"/>
      <c r="AZ19" s="23"/>
      <c r="BA19" s="23"/>
      <c r="BB19" s="120"/>
      <c r="BC19" s="21"/>
      <c r="BD19" s="143">
        <v>7500</v>
      </c>
      <c r="BE19" s="97"/>
      <c r="BF19" s="97"/>
      <c r="BG19" s="54">
        <v>1</v>
      </c>
      <c r="BH19" s="95" t="s">
        <v>115</v>
      </c>
      <c r="BI19" s="50"/>
      <c r="BJ19" s="141">
        <v>13.5073341675531</v>
      </c>
      <c r="BK19" s="141">
        <v>8.4950510950893303</v>
      </c>
      <c r="BL19" s="141">
        <v>10.55946482143735</v>
      </c>
      <c r="BM19" s="141">
        <v>9.9847300201725986</v>
      </c>
      <c r="BN19" s="141">
        <v>2.078333631774572</v>
      </c>
      <c r="BO19" s="141">
        <v>1.964825712504044</v>
      </c>
      <c r="BP19" s="142">
        <v>6288.432763606359</v>
      </c>
      <c r="BQ19" s="142">
        <v>5943.8394578386724</v>
      </c>
      <c r="BR19" s="142">
        <v>5649.1852598605074</v>
      </c>
      <c r="BS19" s="113"/>
      <c r="BT19" s="16"/>
      <c r="BU19" s="16"/>
      <c r="BV19" s="16"/>
      <c r="BW19" s="16"/>
      <c r="BX19" s="16"/>
      <c r="BY19" s="16"/>
      <c r="BZ19" s="26"/>
      <c r="CA19" s="16"/>
      <c r="CB19" s="16"/>
      <c r="CC19" s="16"/>
      <c r="CD19" s="16"/>
      <c r="CE19" s="16"/>
      <c r="CF19" s="16"/>
      <c r="CG19" s="20"/>
      <c r="CH19" s="31"/>
      <c r="CI19" s="31"/>
      <c r="CJ19" s="31"/>
      <c r="CK19" s="31"/>
    </row>
    <row r="20" spans="1:89">
      <c r="A20" s="236">
        <v>17</v>
      </c>
      <c r="B20" s="33">
        <v>0</v>
      </c>
      <c r="C20" s="144">
        <v>45992</v>
      </c>
      <c r="D20" s="244" t="s">
        <v>97</v>
      </c>
      <c r="E20" s="96" t="s">
        <v>179</v>
      </c>
      <c r="F20" s="85" t="s">
        <v>186</v>
      </c>
      <c r="G20" s="85" t="s">
        <v>187</v>
      </c>
      <c r="H20" s="60" t="s">
        <v>382</v>
      </c>
      <c r="I20" s="85" t="s">
        <v>102</v>
      </c>
      <c r="J20" s="53">
        <v>46016</v>
      </c>
      <c r="K20" s="53">
        <v>46019</v>
      </c>
      <c r="L20" s="53">
        <v>46019.15625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120"/>
      <c r="Z20" s="22"/>
      <c r="AA20" s="35"/>
      <c r="AB20" s="120"/>
      <c r="AC20" s="35"/>
      <c r="AD20" s="23"/>
      <c r="AE20" s="23"/>
      <c r="AF20" s="35"/>
      <c r="AG20" s="23"/>
      <c r="AH20" s="35"/>
      <c r="AI20" s="35"/>
      <c r="AJ20" s="23"/>
      <c r="AK20" s="23"/>
      <c r="AL20" s="23"/>
      <c r="AM20" s="120"/>
      <c r="AN20" s="120"/>
      <c r="AO20" s="120"/>
      <c r="AP20" s="120"/>
      <c r="AQ20" s="120"/>
      <c r="AR20" s="23"/>
      <c r="AS20" s="35"/>
      <c r="AT20" s="35"/>
      <c r="AU20" s="23"/>
      <c r="AV20" s="21"/>
      <c r="AW20" s="35"/>
      <c r="AX20" s="35"/>
      <c r="AY20" s="23"/>
      <c r="AZ20" s="23"/>
      <c r="BA20" s="23"/>
      <c r="BB20" s="120"/>
      <c r="BC20" s="21"/>
      <c r="BD20" s="143">
        <v>7500</v>
      </c>
      <c r="BE20" s="97"/>
      <c r="BF20" s="97"/>
      <c r="BG20" s="43">
        <v>1</v>
      </c>
      <c r="BH20" s="95" t="s">
        <v>115</v>
      </c>
      <c r="BI20" s="50"/>
      <c r="BJ20" s="141">
        <v>12.10393227170078</v>
      </c>
      <c r="BK20" s="141">
        <v>7.0785699528602004</v>
      </c>
      <c r="BL20" s="141">
        <v>15.183182084797529</v>
      </c>
      <c r="BM20" s="141">
        <v>14.36210040105864</v>
      </c>
      <c r="BN20" s="141">
        <v>2.3814857918793768</v>
      </c>
      <c r="BO20" s="141">
        <v>2.2527024648550631</v>
      </c>
      <c r="BP20" s="142">
        <v>6236.8778443664096</v>
      </c>
      <c r="BQ20" s="142">
        <v>5899.5730716699236</v>
      </c>
      <c r="BR20" s="142">
        <v>5609.3676911717585</v>
      </c>
      <c r="BS20" s="113"/>
      <c r="BT20" s="16"/>
      <c r="BU20" s="16"/>
      <c r="BV20" s="16"/>
      <c r="BW20" s="16"/>
      <c r="BX20" s="16"/>
      <c r="BY20" s="16"/>
      <c r="BZ20" s="26"/>
      <c r="CA20" s="16"/>
      <c r="CB20" s="16"/>
      <c r="CC20" s="16"/>
      <c r="CD20" s="16"/>
      <c r="CE20" s="16"/>
      <c r="CF20" s="16"/>
      <c r="CG20" s="20"/>
      <c r="CH20" s="32"/>
      <c r="CI20" s="32"/>
      <c r="CJ20" s="32"/>
      <c r="CK20" s="32"/>
    </row>
    <row r="21" spans="1:89">
      <c r="A21" s="236">
        <v>18</v>
      </c>
      <c r="B21" s="33">
        <v>0</v>
      </c>
      <c r="C21" s="144">
        <v>45992</v>
      </c>
      <c r="D21" s="244" t="s">
        <v>97</v>
      </c>
      <c r="E21" s="96" t="s">
        <v>179</v>
      </c>
      <c r="F21" s="85" t="s">
        <v>186</v>
      </c>
      <c r="G21" s="85" t="s">
        <v>341</v>
      </c>
      <c r="H21" s="60" t="s">
        <v>383</v>
      </c>
      <c r="I21" s="85" t="s">
        <v>102</v>
      </c>
      <c r="J21" s="53">
        <v>46018</v>
      </c>
      <c r="K21" s="53">
        <v>46021</v>
      </c>
      <c r="L21" s="53">
        <v>46021.15625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120"/>
      <c r="Z21" s="22"/>
      <c r="AA21" s="35"/>
      <c r="AB21" s="120"/>
      <c r="AC21" s="35"/>
      <c r="AD21" s="23"/>
      <c r="AE21" s="23"/>
      <c r="AF21" s="35"/>
      <c r="AG21" s="23"/>
      <c r="AH21" s="35"/>
      <c r="AI21" s="35"/>
      <c r="AJ21" s="23"/>
      <c r="AK21" s="23"/>
      <c r="AL21" s="23"/>
      <c r="AM21" s="120"/>
      <c r="AN21" s="120"/>
      <c r="AO21" s="120"/>
      <c r="AP21" s="120"/>
      <c r="AQ21" s="120"/>
      <c r="AR21" s="23"/>
      <c r="AS21" s="35"/>
      <c r="AT21" s="35"/>
      <c r="AU21" s="23"/>
      <c r="AV21" s="21"/>
      <c r="AW21" s="35"/>
      <c r="AX21" s="35"/>
      <c r="AY21" s="23"/>
      <c r="AZ21" s="23"/>
      <c r="BA21" s="23"/>
      <c r="BB21" s="120"/>
      <c r="BC21" s="21"/>
      <c r="BD21" s="143">
        <v>7500</v>
      </c>
      <c r="BE21" s="97"/>
      <c r="BF21" s="97"/>
      <c r="BG21" s="43">
        <v>1</v>
      </c>
      <c r="BH21" s="95" t="s">
        <v>115</v>
      </c>
      <c r="BI21" s="50"/>
      <c r="BJ21" s="141">
        <v>12.708376498871971</v>
      </c>
      <c r="BK21" s="141">
        <v>7.6887165085338047</v>
      </c>
      <c r="BL21" s="141">
        <v>13.747829748367961</v>
      </c>
      <c r="BM21" s="141">
        <v>13.00279625179828</v>
      </c>
      <c r="BN21" s="141">
        <v>2.379140079638514</v>
      </c>
      <c r="BO21" s="141">
        <v>2.2500000823379538</v>
      </c>
      <c r="BP21" s="142">
        <v>6227.8666211293839</v>
      </c>
      <c r="BQ21" s="142">
        <v>5889.1154333200102</v>
      </c>
      <c r="BR21" s="142">
        <v>5597.0606728793764</v>
      </c>
      <c r="BS21" s="113"/>
      <c r="BT21" s="16"/>
      <c r="BU21" s="16"/>
      <c r="BV21" s="16"/>
      <c r="BW21" s="16"/>
      <c r="BX21" s="16"/>
      <c r="BY21" s="16"/>
      <c r="BZ21" s="26"/>
      <c r="CA21" s="16"/>
      <c r="CB21" s="16"/>
      <c r="CC21" s="16"/>
      <c r="CD21" s="16"/>
      <c r="CE21" s="16"/>
      <c r="CF21" s="16"/>
      <c r="CG21" s="20"/>
      <c r="CH21" s="31"/>
      <c r="CI21" s="31"/>
      <c r="CJ21" s="31"/>
      <c r="CK21" s="31"/>
    </row>
    <row r="22" spans="1:89">
      <c r="A22" s="236">
        <v>19</v>
      </c>
      <c r="B22" s="33">
        <v>0</v>
      </c>
      <c r="C22" s="144">
        <v>45992</v>
      </c>
      <c r="D22" s="244" t="s">
        <v>97</v>
      </c>
      <c r="E22" s="96" t="s">
        <v>189</v>
      </c>
      <c r="F22" s="85" t="s">
        <v>190</v>
      </c>
      <c r="G22" s="85" t="s">
        <v>191</v>
      </c>
      <c r="H22" s="60" t="s">
        <v>384</v>
      </c>
      <c r="I22" s="85" t="s">
        <v>102</v>
      </c>
      <c r="J22" s="53">
        <v>46014</v>
      </c>
      <c r="K22" s="53">
        <v>46014</v>
      </c>
      <c r="L22" s="53">
        <v>46015.666666666657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120"/>
      <c r="Z22" s="22"/>
      <c r="AA22" s="35"/>
      <c r="AB22" s="120"/>
      <c r="AC22" s="35"/>
      <c r="AD22" s="23"/>
      <c r="AE22" s="23"/>
      <c r="AF22" s="35"/>
      <c r="AG22" s="23"/>
      <c r="AH22" s="35"/>
      <c r="AI22" s="35"/>
      <c r="AJ22" s="23"/>
      <c r="AK22" s="23"/>
      <c r="AL22" s="23"/>
      <c r="AM22" s="120"/>
      <c r="AN22" s="120"/>
      <c r="AO22" s="120"/>
      <c r="AP22" s="120"/>
      <c r="AQ22" s="120"/>
      <c r="AR22" s="23"/>
      <c r="AS22" s="35"/>
      <c r="AT22" s="35"/>
      <c r="AU22" s="23"/>
      <c r="AV22" s="21"/>
      <c r="AW22" s="35"/>
      <c r="AX22" s="35"/>
      <c r="AY22" s="23"/>
      <c r="AZ22" s="23"/>
      <c r="BA22" s="23"/>
      <c r="BB22" s="120"/>
      <c r="BC22" s="21"/>
      <c r="BD22" s="177">
        <v>2000</v>
      </c>
      <c r="BE22" s="97"/>
      <c r="BF22" s="97"/>
      <c r="BG22" s="43">
        <v>1</v>
      </c>
      <c r="BH22" s="95" t="s">
        <v>115</v>
      </c>
      <c r="BI22" s="50"/>
      <c r="BJ22" s="141">
        <v>15.24934722998575</v>
      </c>
      <c r="BK22" s="141">
        <v>10.249347229985741</v>
      </c>
      <c r="BL22" s="141">
        <v>5.4951407098673881</v>
      </c>
      <c r="BM22" s="141">
        <v>5.18900696374586</v>
      </c>
      <c r="BN22" s="141">
        <v>1.5641372849296991</v>
      </c>
      <c r="BO22" s="141">
        <v>1.4769993512960691</v>
      </c>
      <c r="BP22" s="142">
        <v>6350.9541338691424</v>
      </c>
      <c r="BQ22" s="142">
        <v>5997.1431064360904</v>
      </c>
      <c r="BR22" s="142">
        <v>5696.8212062468319</v>
      </c>
      <c r="BS22" s="113"/>
      <c r="BT22" s="16"/>
      <c r="BU22" s="16"/>
      <c r="BV22" s="16"/>
      <c r="BW22" s="16"/>
      <c r="BX22" s="16"/>
      <c r="BY22" s="16"/>
      <c r="BZ22" s="26"/>
      <c r="CA22" s="16"/>
      <c r="CB22" s="16"/>
      <c r="CC22" s="16"/>
      <c r="CD22" s="16"/>
      <c r="CE22" s="16"/>
      <c r="CF22" s="16"/>
      <c r="CG22" s="20"/>
      <c r="CH22" s="32"/>
      <c r="CI22" s="32"/>
      <c r="CJ22" s="32"/>
      <c r="CK22" s="32"/>
    </row>
    <row r="23" spans="1:89">
      <c r="A23" s="236">
        <v>20</v>
      </c>
      <c r="B23" s="33">
        <v>0</v>
      </c>
      <c r="C23" s="144">
        <v>45992</v>
      </c>
      <c r="D23" s="244" t="s">
        <v>97</v>
      </c>
      <c r="E23" s="15" t="s">
        <v>189</v>
      </c>
      <c r="F23" s="85" t="s">
        <v>190</v>
      </c>
      <c r="G23" s="85" t="s">
        <v>191</v>
      </c>
      <c r="H23" s="62" t="s">
        <v>385</v>
      </c>
      <c r="I23" s="85" t="s">
        <v>102</v>
      </c>
      <c r="J23" s="53">
        <v>46019</v>
      </c>
      <c r="K23" s="53">
        <v>46019</v>
      </c>
      <c r="L23" s="53">
        <v>46020.666666666657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120"/>
      <c r="Z23" s="22"/>
      <c r="AA23" s="35"/>
      <c r="AB23" s="120"/>
      <c r="AC23" s="35"/>
      <c r="AD23" s="23"/>
      <c r="AE23" s="23"/>
      <c r="AF23" s="35"/>
      <c r="AG23" s="23"/>
      <c r="AH23" s="35"/>
      <c r="AI23" s="35"/>
      <c r="AJ23" s="23"/>
      <c r="AK23" s="23"/>
      <c r="AL23" s="23"/>
      <c r="AM23" s="120"/>
      <c r="AN23" s="120"/>
      <c r="AO23" s="120"/>
      <c r="AP23" s="120"/>
      <c r="AQ23" s="120"/>
      <c r="AR23" s="23"/>
      <c r="AS23" s="35"/>
      <c r="AT23" s="35"/>
      <c r="AU23" s="23"/>
      <c r="AV23" s="21"/>
      <c r="AW23" s="35"/>
      <c r="AX23" s="35"/>
      <c r="AY23" s="23"/>
      <c r="AZ23" s="23"/>
      <c r="BA23" s="23"/>
      <c r="BB23" s="120"/>
      <c r="BC23" s="21"/>
      <c r="BD23" s="177">
        <v>2000</v>
      </c>
      <c r="BE23" s="97"/>
      <c r="BF23" s="97"/>
      <c r="BG23" s="54">
        <v>1</v>
      </c>
      <c r="BH23" s="95" t="s">
        <v>115</v>
      </c>
      <c r="BI23" s="50"/>
      <c r="BJ23" s="141">
        <v>15.24934722998575</v>
      </c>
      <c r="BK23" s="141">
        <v>10.249347229985741</v>
      </c>
      <c r="BL23" s="141">
        <v>5.4951407098673881</v>
      </c>
      <c r="BM23" s="141">
        <v>5.18900696374586</v>
      </c>
      <c r="BN23" s="141">
        <v>1.5641372849296991</v>
      </c>
      <c r="BO23" s="141">
        <v>1.4769993512960691</v>
      </c>
      <c r="BP23" s="142">
        <v>6350.9541338691424</v>
      </c>
      <c r="BQ23" s="142">
        <v>5997.1431064360904</v>
      </c>
      <c r="BR23" s="142">
        <v>5696.8212062468319</v>
      </c>
      <c r="BS23" s="113"/>
      <c r="BT23" s="16"/>
      <c r="BU23" s="16"/>
      <c r="BV23" s="16"/>
      <c r="BW23" s="16"/>
      <c r="BX23" s="16"/>
      <c r="BY23" s="16"/>
      <c r="BZ23" s="26"/>
      <c r="CA23" s="16"/>
      <c r="CB23" s="16"/>
      <c r="CC23" s="16"/>
      <c r="CD23" s="16"/>
      <c r="CE23" s="16"/>
      <c r="CF23" s="16"/>
      <c r="CG23" s="20"/>
      <c r="CH23" s="31"/>
      <c r="CI23" s="31"/>
      <c r="CJ23" s="31"/>
      <c r="CK23" s="31"/>
    </row>
    <row r="24" spans="1:89">
      <c r="A24" s="236">
        <v>21</v>
      </c>
      <c r="B24" s="33">
        <v>1</v>
      </c>
      <c r="C24" s="144">
        <v>45992</v>
      </c>
      <c r="D24" s="244" t="s">
        <v>148</v>
      </c>
      <c r="E24" s="15" t="s">
        <v>98</v>
      </c>
      <c r="F24" s="85" t="s">
        <v>141</v>
      </c>
      <c r="G24" s="85" t="s">
        <v>226</v>
      </c>
      <c r="H24" s="62" t="s">
        <v>386</v>
      </c>
      <c r="I24" s="85" t="s">
        <v>197</v>
      </c>
      <c r="J24" s="53">
        <v>45992</v>
      </c>
      <c r="K24" s="53">
        <v>45994.5</v>
      </c>
      <c r="L24" s="53">
        <v>45997.5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120"/>
      <c r="Z24" s="22"/>
      <c r="AA24" s="35"/>
      <c r="AB24" s="120"/>
      <c r="AC24" s="35"/>
      <c r="AD24" s="23"/>
      <c r="AE24" s="23"/>
      <c r="AF24" s="35"/>
      <c r="AG24" s="23"/>
      <c r="AH24" s="35"/>
      <c r="AI24" s="35"/>
      <c r="AJ24" s="23"/>
      <c r="AK24" s="23"/>
      <c r="AL24" s="23"/>
      <c r="AM24" s="120"/>
      <c r="AN24" s="120"/>
      <c r="AO24" s="120"/>
      <c r="AP24" s="120"/>
      <c r="AQ24" s="120"/>
      <c r="AR24" s="23"/>
      <c r="AS24" s="35"/>
      <c r="AT24" s="35"/>
      <c r="AU24" s="23"/>
      <c r="AV24" s="21"/>
      <c r="AW24" s="35"/>
      <c r="AX24" s="35"/>
      <c r="AY24" s="23"/>
      <c r="AZ24" s="23"/>
      <c r="BA24" s="23"/>
      <c r="BB24" s="120"/>
      <c r="BC24" s="21"/>
      <c r="BD24" s="177">
        <v>75000</v>
      </c>
      <c r="BE24" s="97">
        <v>45992</v>
      </c>
      <c r="BF24" s="97">
        <v>46001</v>
      </c>
      <c r="BG24" s="54">
        <v>0.82933333333333337</v>
      </c>
      <c r="BH24" s="95" t="s">
        <v>115</v>
      </c>
      <c r="BI24" s="50"/>
      <c r="BJ24" s="141">
        <v>13.189823540668559</v>
      </c>
      <c r="BK24" s="141">
        <v>6.9201898467288174</v>
      </c>
      <c r="BL24" s="141">
        <v>6.0313811128180372</v>
      </c>
      <c r="BM24" s="141">
        <v>5.6175597299317896</v>
      </c>
      <c r="BN24" s="141">
        <v>1.2499999410212239</v>
      </c>
      <c r="BO24" s="141">
        <v>1.167155490972049</v>
      </c>
      <c r="BP24" s="142">
        <v>6768.3190573431148</v>
      </c>
      <c r="BQ24" s="142">
        <v>6315.143182195844</v>
      </c>
      <c r="BR24" s="142">
        <v>6011.8066190992804</v>
      </c>
      <c r="BS24" s="113"/>
      <c r="BT24" s="16"/>
      <c r="BU24" s="16"/>
      <c r="BV24" s="16"/>
      <c r="BW24" s="16"/>
      <c r="BX24" s="16"/>
      <c r="BY24" s="16"/>
      <c r="BZ24" s="26"/>
      <c r="CA24" s="16"/>
      <c r="CB24" s="16"/>
      <c r="CC24" s="16"/>
      <c r="CD24" s="16"/>
      <c r="CE24" s="16"/>
      <c r="CF24" s="16"/>
      <c r="CG24" s="20"/>
      <c r="CH24" s="32"/>
      <c r="CI24" s="32"/>
      <c r="CJ24" s="32"/>
      <c r="CK24" s="32"/>
    </row>
    <row r="25" spans="1:89">
      <c r="A25" s="236">
        <v>22</v>
      </c>
      <c r="B25" s="33">
        <v>2</v>
      </c>
      <c r="C25" s="144">
        <v>45992</v>
      </c>
      <c r="D25" s="244" t="s">
        <v>133</v>
      </c>
      <c r="E25" s="15" t="s">
        <v>98</v>
      </c>
      <c r="F25" s="85" t="s">
        <v>141</v>
      </c>
      <c r="G25" s="85" t="s">
        <v>296</v>
      </c>
      <c r="H25" s="60" t="s">
        <v>387</v>
      </c>
      <c r="I25" s="85" t="s">
        <v>197</v>
      </c>
      <c r="J25" s="53">
        <v>45994</v>
      </c>
      <c r="K25" s="53">
        <v>45996.5</v>
      </c>
      <c r="L25" s="53">
        <v>45999.3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120"/>
      <c r="Z25" s="22"/>
      <c r="AA25" s="35"/>
      <c r="AB25" s="120"/>
      <c r="AC25" s="35"/>
      <c r="AD25" s="23"/>
      <c r="AE25" s="23"/>
      <c r="AF25" s="35"/>
      <c r="AG25" s="23"/>
      <c r="AH25" s="35"/>
      <c r="AI25" s="35"/>
      <c r="AJ25" s="23"/>
      <c r="AK25" s="23"/>
      <c r="AL25" s="23"/>
      <c r="AM25" s="120"/>
      <c r="AN25" s="120"/>
      <c r="AO25" s="120"/>
      <c r="AP25" s="120"/>
      <c r="AQ25" s="120"/>
      <c r="AR25" s="23"/>
      <c r="AS25" s="35"/>
      <c r="AT25" s="35"/>
      <c r="AU25" s="23"/>
      <c r="AV25" s="21"/>
      <c r="AW25" s="35"/>
      <c r="AX25" s="35"/>
      <c r="AY25" s="23"/>
      <c r="AZ25" s="23"/>
      <c r="BA25" s="23"/>
      <c r="BB25" s="120"/>
      <c r="BC25" s="21"/>
      <c r="BD25" s="177">
        <v>70000</v>
      </c>
      <c r="BE25" s="97">
        <v>45994</v>
      </c>
      <c r="BF25" s="97">
        <v>46003</v>
      </c>
      <c r="BG25" s="54">
        <v>0.5714285714285714</v>
      </c>
      <c r="BH25" s="95" t="s">
        <v>115</v>
      </c>
      <c r="BI25" s="50"/>
      <c r="BJ25" s="141">
        <v>21.453841536569769</v>
      </c>
      <c r="BK25" s="141">
        <v>14.104301283879019</v>
      </c>
      <c r="BL25" s="141">
        <v>4.8613540171162439</v>
      </c>
      <c r="BM25" s="141">
        <v>4.3400799124955798</v>
      </c>
      <c r="BN25" s="141">
        <v>0.55181120310071863</v>
      </c>
      <c r="BO25" s="141">
        <v>0.51228028695727867</v>
      </c>
      <c r="BP25" s="142">
        <v>5995.7198349188666</v>
      </c>
      <c r="BQ25" s="142">
        <v>5508.1866424091049</v>
      </c>
      <c r="BR25" s="142">
        <v>5184.3014398681908</v>
      </c>
      <c r="BS25" s="113"/>
      <c r="BT25" s="16"/>
      <c r="BU25" s="16"/>
      <c r="BV25" s="16"/>
      <c r="BW25" s="16"/>
      <c r="BX25" s="16"/>
      <c r="BY25" s="16"/>
      <c r="BZ25" s="26"/>
      <c r="CA25" s="16"/>
      <c r="CB25" s="16"/>
      <c r="CC25" s="16"/>
      <c r="CD25" s="16"/>
      <c r="CE25" s="16"/>
      <c r="CF25" s="16"/>
      <c r="CG25" s="20"/>
      <c r="CH25" s="31"/>
      <c r="CI25" s="31"/>
      <c r="CJ25" s="31"/>
      <c r="CK25" s="31"/>
    </row>
    <row r="26" spans="1:89">
      <c r="A26" s="236">
        <v>23</v>
      </c>
      <c r="B26" s="33">
        <v>3</v>
      </c>
      <c r="C26" s="144">
        <v>45992</v>
      </c>
      <c r="D26" s="244" t="s">
        <v>133</v>
      </c>
      <c r="E26" s="15" t="s">
        <v>98</v>
      </c>
      <c r="F26" s="85" t="s">
        <v>156</v>
      </c>
      <c r="G26" s="85" t="s">
        <v>348</v>
      </c>
      <c r="H26" s="60" t="s">
        <v>388</v>
      </c>
      <c r="I26" s="85" t="s">
        <v>197</v>
      </c>
      <c r="J26" s="53">
        <v>45996</v>
      </c>
      <c r="K26" s="53">
        <v>45998.5</v>
      </c>
      <c r="L26" s="53">
        <v>46001.3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22"/>
      <c r="AA26" s="35"/>
      <c r="AB26" s="35"/>
      <c r="AC26" s="35"/>
      <c r="AD26" s="23"/>
      <c r="AE26" s="23"/>
      <c r="AF26" s="35"/>
      <c r="AG26" s="23"/>
      <c r="AH26" s="35"/>
      <c r="AI26" s="35"/>
      <c r="AJ26" s="23"/>
      <c r="AK26" s="23"/>
      <c r="AL26" s="23"/>
      <c r="AM26" s="35"/>
      <c r="AN26" s="35"/>
      <c r="AO26" s="21"/>
      <c r="AP26" s="35"/>
      <c r="AQ26" s="35"/>
      <c r="AR26" s="23"/>
      <c r="AS26" s="35"/>
      <c r="AT26" s="35"/>
      <c r="AU26" s="23"/>
      <c r="AV26" s="21"/>
      <c r="AW26" s="35"/>
      <c r="AX26" s="35"/>
      <c r="AY26" s="23"/>
      <c r="AZ26" s="23"/>
      <c r="BA26" s="23"/>
      <c r="BB26" s="35"/>
      <c r="BC26" s="21"/>
      <c r="BD26" s="177">
        <v>70000</v>
      </c>
      <c r="BE26" s="97">
        <v>45996</v>
      </c>
      <c r="BF26" s="97">
        <v>46005</v>
      </c>
      <c r="BG26" s="54">
        <v>0.60285714285714287</v>
      </c>
      <c r="BH26" s="95" t="s">
        <v>115</v>
      </c>
      <c r="BI26" s="50"/>
      <c r="BJ26" s="141">
        <v>20.61568477768726</v>
      </c>
      <c r="BK26" s="141">
        <v>12.509494452299069</v>
      </c>
      <c r="BL26" s="141">
        <v>4.5762592646846372</v>
      </c>
      <c r="BM26" s="141">
        <v>4.0614278438482039</v>
      </c>
      <c r="BN26" s="141">
        <v>0.50599555514840877</v>
      </c>
      <c r="BO26" s="141">
        <v>0.46815911298015839</v>
      </c>
      <c r="BP26" s="142">
        <v>6152.4359275251099</v>
      </c>
      <c r="BQ26" s="142">
        <v>5608.9205027149537</v>
      </c>
      <c r="BR26" s="142">
        <v>5285.9703413583729</v>
      </c>
      <c r="BS26" s="113"/>
      <c r="BT26" s="16"/>
      <c r="BU26" s="16"/>
      <c r="BV26" s="16"/>
      <c r="BW26" s="16"/>
      <c r="BX26" s="16"/>
      <c r="BY26" s="16"/>
      <c r="BZ26" s="26"/>
      <c r="CA26" s="16"/>
      <c r="CB26" s="16"/>
      <c r="CC26" s="16"/>
      <c r="CD26" s="16"/>
      <c r="CE26" s="16"/>
      <c r="CF26" s="16"/>
      <c r="CG26" s="20"/>
      <c r="CH26" s="32"/>
      <c r="CI26" s="32"/>
      <c r="CJ26" s="32"/>
      <c r="CK26" s="32"/>
    </row>
    <row r="27" spans="1:89">
      <c r="A27" s="236">
        <v>24</v>
      </c>
      <c r="B27" s="33">
        <v>4</v>
      </c>
      <c r="C27" s="144">
        <v>45992</v>
      </c>
      <c r="D27" s="244" t="s">
        <v>148</v>
      </c>
      <c r="E27" s="15" t="s">
        <v>98</v>
      </c>
      <c r="F27" s="85" t="s">
        <v>156</v>
      </c>
      <c r="G27" s="85" t="s">
        <v>389</v>
      </c>
      <c r="H27" s="60" t="s">
        <v>390</v>
      </c>
      <c r="I27" s="85" t="s">
        <v>197</v>
      </c>
      <c r="J27" s="53">
        <v>45997</v>
      </c>
      <c r="K27" s="53">
        <v>45997.916666666657</v>
      </c>
      <c r="L27" s="53">
        <v>45999.716666666667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22"/>
      <c r="AA27" s="35"/>
      <c r="AB27" s="35"/>
      <c r="AC27" s="35"/>
      <c r="AD27" s="23"/>
      <c r="AE27" s="23"/>
      <c r="AF27" s="35"/>
      <c r="AG27" s="23"/>
      <c r="AH27" s="35"/>
      <c r="AI27" s="35"/>
      <c r="AJ27" s="23"/>
      <c r="AK27" s="23"/>
      <c r="AL27" s="23"/>
      <c r="AM27" s="35"/>
      <c r="AN27" s="35"/>
      <c r="AO27" s="21"/>
      <c r="AP27" s="35"/>
      <c r="AQ27" s="35"/>
      <c r="AR27" s="23"/>
      <c r="AS27" s="35"/>
      <c r="AT27" s="35"/>
      <c r="AU27" s="23"/>
      <c r="AV27" s="21"/>
      <c r="AW27" s="35"/>
      <c r="AX27" s="35"/>
      <c r="AY27" s="23"/>
      <c r="AZ27" s="23"/>
      <c r="BA27" s="23"/>
      <c r="BB27" s="35"/>
      <c r="BC27" s="21"/>
      <c r="BD27" s="177">
        <v>18000</v>
      </c>
      <c r="BE27" s="119">
        <v>45997</v>
      </c>
      <c r="BF27" s="119">
        <v>46006</v>
      </c>
      <c r="BG27" s="54">
        <v>1</v>
      </c>
      <c r="BH27" s="95" t="s">
        <v>115</v>
      </c>
      <c r="BI27" s="50"/>
      <c r="BJ27" s="141">
        <v>12.03050457092537</v>
      </c>
      <c r="BK27" s="141">
        <v>6.8427097674167952</v>
      </c>
      <c r="BL27" s="141">
        <v>5.1695061209438364</v>
      </c>
      <c r="BM27" s="141">
        <v>4.8776941109072389</v>
      </c>
      <c r="BN27" s="141">
        <v>0.94000021068516282</v>
      </c>
      <c r="BO27" s="141">
        <v>0.88545365642105889</v>
      </c>
      <c r="BP27" s="142">
        <v>6867.4293510760353</v>
      </c>
      <c r="BQ27" s="142">
        <v>6485.2889713428131</v>
      </c>
      <c r="BR27" s="142">
        <v>6185.3945195222686</v>
      </c>
      <c r="BS27" s="113"/>
      <c r="BT27" s="16"/>
      <c r="BU27" s="16"/>
      <c r="BV27" s="16"/>
      <c r="BW27" s="16"/>
      <c r="BX27" s="16"/>
      <c r="BY27" s="16"/>
      <c r="BZ27" s="26"/>
      <c r="CA27" s="16"/>
      <c r="CB27" s="16"/>
      <c r="CC27" s="16"/>
      <c r="CD27" s="16"/>
      <c r="CE27" s="16"/>
      <c r="CF27" s="16"/>
      <c r="CG27" s="20"/>
      <c r="CH27" s="31"/>
      <c r="CI27" s="31"/>
      <c r="CJ27" s="31"/>
      <c r="CK27" s="31"/>
    </row>
    <row r="28" spans="1:89">
      <c r="A28" s="236">
        <v>25</v>
      </c>
      <c r="B28" s="161">
        <v>5</v>
      </c>
      <c r="C28" s="148">
        <v>45992</v>
      </c>
      <c r="D28" s="245" t="s">
        <v>133</v>
      </c>
      <c r="E28" s="162" t="s">
        <v>98</v>
      </c>
      <c r="F28" s="166" t="s">
        <v>141</v>
      </c>
      <c r="G28" s="180" t="s">
        <v>235</v>
      </c>
      <c r="H28" s="180" t="s">
        <v>391</v>
      </c>
      <c r="I28" s="190" t="s">
        <v>197</v>
      </c>
      <c r="J28" s="163">
        <v>45999</v>
      </c>
      <c r="K28" s="163">
        <v>46000.5</v>
      </c>
      <c r="L28" s="163">
        <v>46003.3</v>
      </c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5"/>
      <c r="AA28" s="164"/>
      <c r="AB28" s="164"/>
      <c r="AC28" s="164"/>
      <c r="AD28" s="165"/>
      <c r="AE28" s="165"/>
      <c r="AF28" s="164"/>
      <c r="AG28" s="165"/>
      <c r="AH28" s="164"/>
      <c r="AI28" s="164"/>
      <c r="AJ28" s="165"/>
      <c r="AK28" s="165"/>
      <c r="AL28" s="165"/>
      <c r="AM28" s="164"/>
      <c r="AN28" s="164"/>
      <c r="AO28" s="155"/>
      <c r="AP28" s="164"/>
      <c r="AQ28" s="164"/>
      <c r="AR28" s="165"/>
      <c r="AS28" s="164"/>
      <c r="AT28" s="164"/>
      <c r="AU28" s="165"/>
      <c r="AV28" s="155"/>
      <c r="AW28" s="164"/>
      <c r="AX28" s="164"/>
      <c r="AY28" s="165"/>
      <c r="AZ28" s="165"/>
      <c r="BA28" s="165"/>
      <c r="BB28" s="164"/>
      <c r="BC28" s="155"/>
      <c r="BD28" s="177">
        <v>70000</v>
      </c>
      <c r="BE28" s="178">
        <v>45999</v>
      </c>
      <c r="BF28" s="178">
        <v>46008</v>
      </c>
      <c r="BG28" s="158">
        <v>0.5714285714285714</v>
      </c>
      <c r="BH28" s="169" t="s">
        <v>115</v>
      </c>
      <c r="BI28" s="159"/>
      <c r="BJ28" s="182">
        <v>21.465110120418881</v>
      </c>
      <c r="BK28" s="182">
        <v>13.997337147587199</v>
      </c>
      <c r="BL28" s="182">
        <v>5.4601437308522467</v>
      </c>
      <c r="BM28" s="182">
        <v>4.9017275925991184</v>
      </c>
      <c r="BN28" s="182">
        <v>0.95000009157127874</v>
      </c>
      <c r="BO28" s="182">
        <v>0.88798294560347402</v>
      </c>
      <c r="BP28" s="183">
        <v>5948.012707605104</v>
      </c>
      <c r="BQ28" s="183">
        <v>5454.7945673404074</v>
      </c>
      <c r="BR28" s="183">
        <v>5129.5249291797136</v>
      </c>
      <c r="BS28" s="189"/>
      <c r="BT28" s="184"/>
      <c r="BU28" s="186"/>
      <c r="BV28" s="186"/>
      <c r="BW28" s="186"/>
      <c r="BX28" s="186"/>
      <c r="BY28" s="186"/>
      <c r="BZ28" s="187"/>
      <c r="CA28" s="176"/>
      <c r="CB28" s="186"/>
      <c r="CC28" s="186"/>
      <c r="CD28" s="186"/>
      <c r="CE28" s="186"/>
      <c r="CF28" s="186"/>
      <c r="CG28" s="160"/>
      <c r="CH28" s="186"/>
      <c r="CI28" s="186"/>
      <c r="CJ28" s="186"/>
      <c r="CK28" s="186"/>
    </row>
    <row r="29" spans="1:89">
      <c r="A29" s="236">
        <v>26</v>
      </c>
      <c r="B29" s="161">
        <v>6</v>
      </c>
      <c r="C29" s="148">
        <v>45992</v>
      </c>
      <c r="D29" s="245" t="s">
        <v>133</v>
      </c>
      <c r="E29" s="162" t="s">
        <v>98</v>
      </c>
      <c r="F29" s="166" t="s">
        <v>141</v>
      </c>
      <c r="G29" s="180" t="s">
        <v>239</v>
      </c>
      <c r="H29" s="180" t="s">
        <v>392</v>
      </c>
      <c r="I29" s="190" t="s">
        <v>197</v>
      </c>
      <c r="J29" s="163">
        <v>46001</v>
      </c>
      <c r="K29" s="163">
        <v>46003.5</v>
      </c>
      <c r="L29" s="163">
        <v>46006.5</v>
      </c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5"/>
      <c r="AA29" s="164"/>
      <c r="AB29" s="164"/>
      <c r="AC29" s="164"/>
      <c r="AD29" s="165"/>
      <c r="AE29" s="165"/>
      <c r="AF29" s="164"/>
      <c r="AG29" s="165"/>
      <c r="AH29" s="164"/>
      <c r="AI29" s="164"/>
      <c r="AJ29" s="165"/>
      <c r="AK29" s="165"/>
      <c r="AL29" s="165"/>
      <c r="AM29" s="164"/>
      <c r="AN29" s="164"/>
      <c r="AO29" s="155"/>
      <c r="AP29" s="164"/>
      <c r="AQ29" s="164"/>
      <c r="AR29" s="165"/>
      <c r="AS29" s="164"/>
      <c r="AT29" s="164"/>
      <c r="AU29" s="165"/>
      <c r="AV29" s="155"/>
      <c r="AW29" s="164"/>
      <c r="AX29" s="164"/>
      <c r="AY29" s="165"/>
      <c r="AZ29" s="165"/>
      <c r="BA29" s="165"/>
      <c r="BB29" s="164"/>
      <c r="BC29" s="155"/>
      <c r="BD29" s="177">
        <v>75000</v>
      </c>
      <c r="BE29" s="178">
        <v>46001</v>
      </c>
      <c r="BF29" s="178">
        <v>46010</v>
      </c>
      <c r="BG29" s="158">
        <v>0.6</v>
      </c>
      <c r="BH29" s="169" t="s">
        <v>115</v>
      </c>
      <c r="BI29" s="159"/>
      <c r="BJ29" s="182">
        <v>21.046020139478841</v>
      </c>
      <c r="BK29" s="182">
        <v>13.769741247274419</v>
      </c>
      <c r="BL29" s="182">
        <v>5.3493864987397286</v>
      </c>
      <c r="BM29" s="182">
        <v>4.8151080833299416</v>
      </c>
      <c r="BN29" s="182">
        <v>0.93777335810439755</v>
      </c>
      <c r="BO29" s="182">
        <v>0.87721424589838182</v>
      </c>
      <c r="BP29" s="183">
        <v>5989.5325105682878</v>
      </c>
      <c r="BQ29" s="183">
        <v>5506.6897814478434</v>
      </c>
      <c r="BR29" s="183">
        <v>5182.4078008393562</v>
      </c>
      <c r="BS29" s="189"/>
      <c r="BT29" s="184"/>
      <c r="BU29" s="186"/>
      <c r="BV29" s="186"/>
      <c r="BW29" s="186"/>
      <c r="BX29" s="186"/>
      <c r="BY29" s="186"/>
      <c r="BZ29" s="187"/>
      <c r="CA29" s="176"/>
      <c r="CB29" s="186"/>
      <c r="CC29" s="186"/>
      <c r="CD29" s="186"/>
      <c r="CE29" s="186"/>
      <c r="CF29" s="186"/>
      <c r="CG29" s="160"/>
      <c r="CH29" s="186"/>
      <c r="CI29" s="186"/>
      <c r="CJ29" s="186"/>
      <c r="CK29" s="186"/>
    </row>
    <row r="30" spans="1:89">
      <c r="A30" s="236">
        <v>27</v>
      </c>
      <c r="B30" s="196">
        <v>7</v>
      </c>
      <c r="C30" s="148">
        <v>45992</v>
      </c>
      <c r="D30" s="245" t="s">
        <v>148</v>
      </c>
      <c r="E30" s="197" t="s">
        <v>98</v>
      </c>
      <c r="F30" s="166" t="s">
        <v>156</v>
      </c>
      <c r="G30" s="198" t="s">
        <v>294</v>
      </c>
      <c r="H30" s="198" t="s">
        <v>393</v>
      </c>
      <c r="I30" s="199" t="s">
        <v>197</v>
      </c>
      <c r="J30" s="200">
        <v>46002</v>
      </c>
      <c r="K30" s="200">
        <v>46003.5</v>
      </c>
      <c r="L30" s="200">
        <v>46005.9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2"/>
      <c r="AA30" s="201"/>
      <c r="AB30" s="201"/>
      <c r="AC30" s="201"/>
      <c r="AD30" s="202"/>
      <c r="AE30" s="202"/>
      <c r="AF30" s="201"/>
      <c r="AG30" s="202"/>
      <c r="AH30" s="201"/>
      <c r="AI30" s="201"/>
      <c r="AJ30" s="202"/>
      <c r="AK30" s="202"/>
      <c r="AL30" s="202"/>
      <c r="AM30" s="201"/>
      <c r="AN30" s="201"/>
      <c r="AO30" s="203"/>
      <c r="AP30" s="201"/>
      <c r="AQ30" s="201"/>
      <c r="AR30" s="202"/>
      <c r="AS30" s="201"/>
      <c r="AT30" s="201"/>
      <c r="AU30" s="202"/>
      <c r="AV30" s="203"/>
      <c r="AW30" s="201"/>
      <c r="AX30" s="201"/>
      <c r="AY30" s="202"/>
      <c r="AZ30" s="202"/>
      <c r="BA30" s="202"/>
      <c r="BB30" s="201"/>
      <c r="BC30" s="203"/>
      <c r="BD30" s="204">
        <v>60000</v>
      </c>
      <c r="BE30" s="178">
        <v>46002</v>
      </c>
      <c r="BF30" s="178">
        <v>46011</v>
      </c>
      <c r="BG30" s="205">
        <v>0.63</v>
      </c>
      <c r="BH30" s="206" t="s">
        <v>115</v>
      </c>
      <c r="BI30" s="207"/>
      <c r="BJ30" s="208">
        <v>15.344893610148169</v>
      </c>
      <c r="BK30" s="208">
        <v>8.1572458232100082</v>
      </c>
      <c r="BL30" s="208">
        <v>5.2769242720893761</v>
      </c>
      <c r="BM30" s="208">
        <v>4.8492695334060221</v>
      </c>
      <c r="BN30" s="208">
        <v>0.7900501538466379</v>
      </c>
      <c r="BO30" s="208">
        <v>0.7306405424720398</v>
      </c>
      <c r="BP30" s="209">
        <v>6556.6448648368096</v>
      </c>
      <c r="BQ30" s="209">
        <v>6052.8817982178207</v>
      </c>
      <c r="BR30" s="209">
        <v>5740.8094992111846</v>
      </c>
      <c r="BS30" s="195"/>
      <c r="BT30" s="210"/>
      <c r="BU30" s="211"/>
      <c r="BV30" s="211"/>
      <c r="BW30" s="211"/>
      <c r="BX30" s="211"/>
      <c r="BY30" s="211"/>
      <c r="BZ30" s="212"/>
      <c r="CA30" s="213"/>
      <c r="CB30" s="211"/>
      <c r="CC30" s="211"/>
      <c r="CD30" s="211"/>
      <c r="CE30" s="211"/>
      <c r="CF30" s="211"/>
      <c r="CG30" s="214"/>
      <c r="CH30" s="211"/>
      <c r="CI30" s="211"/>
      <c r="CJ30" s="211"/>
      <c r="CK30" s="211"/>
    </row>
    <row r="31" spans="1:89">
      <c r="A31" s="236">
        <v>28</v>
      </c>
      <c r="B31" s="196">
        <v>8</v>
      </c>
      <c r="C31" s="148">
        <v>45992</v>
      </c>
      <c r="D31" s="245" t="s">
        <v>133</v>
      </c>
      <c r="E31" s="197" t="s">
        <v>98</v>
      </c>
      <c r="F31" s="166" t="s">
        <v>156</v>
      </c>
      <c r="G31" s="198" t="s">
        <v>229</v>
      </c>
      <c r="H31" s="198" t="s">
        <v>394</v>
      </c>
      <c r="I31" s="199" t="s">
        <v>197</v>
      </c>
      <c r="J31" s="200">
        <v>46003</v>
      </c>
      <c r="K31" s="200">
        <v>46005.298144594897</v>
      </c>
      <c r="L31" s="200">
        <v>46008.498144594909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2"/>
      <c r="AA31" s="201"/>
      <c r="AB31" s="201"/>
      <c r="AC31" s="201"/>
      <c r="AD31" s="202"/>
      <c r="AE31" s="202"/>
      <c r="AF31" s="201"/>
      <c r="AG31" s="202"/>
      <c r="AH31" s="201"/>
      <c r="AI31" s="201"/>
      <c r="AJ31" s="202"/>
      <c r="AK31" s="202"/>
      <c r="AL31" s="202"/>
      <c r="AM31" s="201"/>
      <c r="AN31" s="201"/>
      <c r="AO31" s="203"/>
      <c r="AP31" s="201"/>
      <c r="AQ31" s="201"/>
      <c r="AR31" s="202"/>
      <c r="AS31" s="201"/>
      <c r="AT31" s="201"/>
      <c r="AU31" s="202"/>
      <c r="AV31" s="203"/>
      <c r="AW31" s="201"/>
      <c r="AX31" s="201"/>
      <c r="AY31" s="202"/>
      <c r="AZ31" s="202"/>
      <c r="BA31" s="202"/>
      <c r="BB31" s="201"/>
      <c r="BC31" s="203"/>
      <c r="BD31" s="204">
        <v>80000</v>
      </c>
      <c r="BE31" s="178">
        <v>46003</v>
      </c>
      <c r="BF31" s="178">
        <v>46012</v>
      </c>
      <c r="BG31" s="205">
        <v>0.58625000000000005</v>
      </c>
      <c r="BH31" s="206" t="s">
        <v>115</v>
      </c>
      <c r="BI31" s="207"/>
      <c r="BJ31" s="208">
        <v>19.435300799685759</v>
      </c>
      <c r="BK31" s="208">
        <v>10.819880261360041</v>
      </c>
      <c r="BL31" s="208">
        <v>4.0515515926897656</v>
      </c>
      <c r="BM31" s="208">
        <v>3.595400484911782</v>
      </c>
      <c r="BN31" s="208">
        <v>0.50125984242491983</v>
      </c>
      <c r="BO31" s="208">
        <v>0.47016197910977853</v>
      </c>
      <c r="BP31" s="209">
        <v>6405.4656771382142</v>
      </c>
      <c r="BQ31" s="209">
        <v>5821.5754685042102</v>
      </c>
      <c r="BR31" s="209">
        <v>5503.699350421708</v>
      </c>
      <c r="BS31" s="195"/>
      <c r="BT31" s="210"/>
      <c r="BU31" s="211"/>
      <c r="BV31" s="211"/>
      <c r="BW31" s="211"/>
      <c r="BX31" s="211"/>
      <c r="BY31" s="211"/>
      <c r="BZ31" s="212"/>
      <c r="CA31" s="213"/>
      <c r="CB31" s="211"/>
      <c r="CC31" s="211"/>
      <c r="CD31" s="211"/>
      <c r="CE31" s="211"/>
      <c r="CF31" s="211"/>
      <c r="CG31" s="214"/>
      <c r="CH31" s="211"/>
      <c r="CI31" s="211"/>
      <c r="CJ31" s="211"/>
      <c r="CK31" s="211"/>
    </row>
    <row r="32" spans="1:89">
      <c r="A32" s="236">
        <v>29</v>
      </c>
      <c r="B32" s="196">
        <v>9</v>
      </c>
      <c r="C32" s="148">
        <v>45992</v>
      </c>
      <c r="D32" s="245" t="s">
        <v>133</v>
      </c>
      <c r="E32" s="197" t="s">
        <v>98</v>
      </c>
      <c r="F32" s="166" t="s">
        <v>156</v>
      </c>
      <c r="G32" s="198" t="s">
        <v>231</v>
      </c>
      <c r="H32" s="198" t="s">
        <v>395</v>
      </c>
      <c r="I32" s="199" t="s">
        <v>197</v>
      </c>
      <c r="J32" s="200">
        <v>46005</v>
      </c>
      <c r="K32" s="200">
        <v>46007.166666666657</v>
      </c>
      <c r="L32" s="200">
        <v>46010.166666666657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2"/>
      <c r="AA32" s="201"/>
      <c r="AB32" s="201"/>
      <c r="AC32" s="201"/>
      <c r="AD32" s="202"/>
      <c r="AE32" s="202"/>
      <c r="AF32" s="201"/>
      <c r="AG32" s="202"/>
      <c r="AH32" s="201"/>
      <c r="AI32" s="201"/>
      <c r="AJ32" s="202"/>
      <c r="AK32" s="202"/>
      <c r="AL32" s="202"/>
      <c r="AM32" s="201"/>
      <c r="AN32" s="201"/>
      <c r="AO32" s="203"/>
      <c r="AP32" s="201"/>
      <c r="AQ32" s="201"/>
      <c r="AR32" s="202"/>
      <c r="AS32" s="201"/>
      <c r="AT32" s="201"/>
      <c r="AU32" s="202"/>
      <c r="AV32" s="203"/>
      <c r="AW32" s="201"/>
      <c r="AX32" s="201"/>
      <c r="AY32" s="202"/>
      <c r="AZ32" s="202"/>
      <c r="BA32" s="202"/>
      <c r="BB32" s="201"/>
      <c r="BC32" s="203"/>
      <c r="BD32" s="204">
        <v>75000</v>
      </c>
      <c r="BE32" s="178">
        <v>46005</v>
      </c>
      <c r="BF32" s="178">
        <v>46014</v>
      </c>
      <c r="BG32" s="205">
        <v>0.6</v>
      </c>
      <c r="BH32" s="206" t="s">
        <v>115</v>
      </c>
      <c r="BI32" s="207"/>
      <c r="BJ32" s="208">
        <v>22.038328907857579</v>
      </c>
      <c r="BK32" s="208">
        <v>14.18500174270355</v>
      </c>
      <c r="BL32" s="208">
        <v>5.2821698010359768</v>
      </c>
      <c r="BM32" s="208">
        <v>4.6788228045954066</v>
      </c>
      <c r="BN32" s="208">
        <v>0.87198411164241096</v>
      </c>
      <c r="BO32" s="208">
        <v>0.81803065629831817</v>
      </c>
      <c r="BP32" s="209">
        <v>5940.4407962568712</v>
      </c>
      <c r="BQ32" s="209">
        <v>5428.5227346274341</v>
      </c>
      <c r="BR32" s="209">
        <v>5104.2373596002517</v>
      </c>
      <c r="BS32" s="195"/>
      <c r="BT32" s="210"/>
      <c r="BU32" s="211"/>
      <c r="BV32" s="211"/>
      <c r="BW32" s="211"/>
      <c r="BX32" s="211"/>
      <c r="BY32" s="211"/>
      <c r="BZ32" s="212"/>
      <c r="CA32" s="213"/>
      <c r="CB32" s="211"/>
      <c r="CC32" s="211"/>
      <c r="CD32" s="211"/>
      <c r="CE32" s="211"/>
      <c r="CF32" s="211"/>
      <c r="CG32" s="214"/>
      <c r="CH32" s="211"/>
      <c r="CI32" s="211"/>
      <c r="CJ32" s="211"/>
      <c r="CK32" s="211"/>
    </row>
    <row r="33" spans="1:89">
      <c r="A33" s="236">
        <v>30</v>
      </c>
      <c r="B33" s="196">
        <v>10</v>
      </c>
      <c r="C33" s="148">
        <v>45992</v>
      </c>
      <c r="D33" s="245" t="s">
        <v>148</v>
      </c>
      <c r="E33" s="197" t="s">
        <v>98</v>
      </c>
      <c r="F33" s="166" t="s">
        <v>141</v>
      </c>
      <c r="G33" s="198" t="s">
        <v>243</v>
      </c>
      <c r="H33" s="198" t="s">
        <v>396</v>
      </c>
      <c r="I33" s="199" t="s">
        <v>197</v>
      </c>
      <c r="J33" s="200">
        <v>46007</v>
      </c>
      <c r="K33" s="200">
        <v>46007.916666666657</v>
      </c>
      <c r="L33" s="200">
        <v>46011.196666666663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2"/>
      <c r="AA33" s="201"/>
      <c r="AB33" s="201"/>
      <c r="AC33" s="201"/>
      <c r="AD33" s="202"/>
      <c r="AE33" s="202"/>
      <c r="AF33" s="201"/>
      <c r="AG33" s="202"/>
      <c r="AH33" s="201"/>
      <c r="AI33" s="201"/>
      <c r="AJ33" s="202"/>
      <c r="AK33" s="202"/>
      <c r="AL33" s="202"/>
      <c r="AM33" s="201"/>
      <c r="AN33" s="201"/>
      <c r="AO33" s="203"/>
      <c r="AP33" s="201"/>
      <c r="AQ33" s="201"/>
      <c r="AR33" s="202"/>
      <c r="AS33" s="201"/>
      <c r="AT33" s="201"/>
      <c r="AU33" s="202"/>
      <c r="AV33" s="203"/>
      <c r="AW33" s="201"/>
      <c r="AX33" s="201"/>
      <c r="AY33" s="202"/>
      <c r="AZ33" s="202"/>
      <c r="BA33" s="202"/>
      <c r="BB33" s="201"/>
      <c r="BC33" s="203"/>
      <c r="BD33" s="204">
        <v>82000</v>
      </c>
      <c r="BE33" s="178">
        <v>46007</v>
      </c>
      <c r="BF33" s="178">
        <v>46016</v>
      </c>
      <c r="BG33" s="205">
        <v>0.72560975609756095</v>
      </c>
      <c r="BH33" s="206" t="s">
        <v>115</v>
      </c>
      <c r="BI33" s="207"/>
      <c r="BJ33" s="208">
        <v>14.093420590070711</v>
      </c>
      <c r="BK33" s="208">
        <v>8.2302497563143042</v>
      </c>
      <c r="BL33" s="208">
        <v>5.1807822202751197</v>
      </c>
      <c r="BM33" s="208">
        <v>4.8354858769361808</v>
      </c>
      <c r="BN33" s="208">
        <v>0.95688799564278326</v>
      </c>
      <c r="BO33" s="208">
        <v>0.89092094867111138</v>
      </c>
      <c r="BP33" s="209">
        <v>6647.9490754130748</v>
      </c>
      <c r="BQ33" s="209">
        <v>6228.3741660699843</v>
      </c>
      <c r="BR33" s="209">
        <v>5920.8815564129891</v>
      </c>
      <c r="BS33" s="195"/>
      <c r="BT33" s="210"/>
      <c r="BU33" s="211"/>
      <c r="BV33" s="211"/>
      <c r="BW33" s="211"/>
      <c r="BX33" s="211"/>
      <c r="BY33" s="211"/>
      <c r="BZ33" s="212"/>
      <c r="CA33" s="213"/>
      <c r="CB33" s="211"/>
      <c r="CC33" s="211"/>
      <c r="CD33" s="211"/>
      <c r="CE33" s="211"/>
      <c r="CF33" s="211"/>
      <c r="CG33" s="214"/>
      <c r="CH33" s="211"/>
      <c r="CI33" s="211"/>
      <c r="CJ33" s="211"/>
      <c r="CK33" s="211"/>
    </row>
    <row r="34" spans="1:89">
      <c r="A34" s="236">
        <v>31</v>
      </c>
      <c r="B34" s="196">
        <v>11</v>
      </c>
      <c r="C34" s="148">
        <v>45992</v>
      </c>
      <c r="D34" s="245" t="s">
        <v>133</v>
      </c>
      <c r="E34" s="197" t="s">
        <v>98</v>
      </c>
      <c r="F34" s="166" t="s">
        <v>141</v>
      </c>
      <c r="G34" s="198" t="s">
        <v>235</v>
      </c>
      <c r="H34" s="198" t="s">
        <v>397</v>
      </c>
      <c r="I34" s="199" t="s">
        <v>197</v>
      </c>
      <c r="J34" s="200">
        <v>46008</v>
      </c>
      <c r="K34" s="200">
        <v>46010.500428240739</v>
      </c>
      <c r="L34" s="200">
        <v>46013.300428240742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2"/>
      <c r="AA34" s="201"/>
      <c r="AB34" s="201"/>
      <c r="AC34" s="201"/>
      <c r="AD34" s="202"/>
      <c r="AE34" s="202"/>
      <c r="AF34" s="201"/>
      <c r="AG34" s="202"/>
      <c r="AH34" s="201"/>
      <c r="AI34" s="201"/>
      <c r="AJ34" s="202"/>
      <c r="AK34" s="202"/>
      <c r="AL34" s="202"/>
      <c r="AM34" s="201"/>
      <c r="AN34" s="201"/>
      <c r="AO34" s="203"/>
      <c r="AP34" s="201"/>
      <c r="AQ34" s="201"/>
      <c r="AR34" s="202"/>
      <c r="AS34" s="201"/>
      <c r="AT34" s="201"/>
      <c r="AU34" s="202"/>
      <c r="AV34" s="203"/>
      <c r="AW34" s="201"/>
      <c r="AX34" s="201"/>
      <c r="AY34" s="202"/>
      <c r="AZ34" s="202"/>
      <c r="BA34" s="202"/>
      <c r="BB34" s="201"/>
      <c r="BC34" s="203"/>
      <c r="BD34" s="204">
        <v>70000</v>
      </c>
      <c r="BE34" s="178">
        <v>46008</v>
      </c>
      <c r="BF34" s="178">
        <v>46017</v>
      </c>
      <c r="BG34" s="205">
        <v>0.6785714285714286</v>
      </c>
      <c r="BH34" s="206" t="s">
        <v>115</v>
      </c>
      <c r="BI34" s="207"/>
      <c r="BJ34" s="208">
        <v>22.42714598372562</v>
      </c>
      <c r="BK34" s="208">
        <v>13.827585021521539</v>
      </c>
      <c r="BL34" s="208">
        <v>4.5574265133592329</v>
      </c>
      <c r="BM34" s="208">
        <v>4.0115227052869136</v>
      </c>
      <c r="BN34" s="208">
        <v>0.55129766160183546</v>
      </c>
      <c r="BO34" s="208">
        <v>0.51552754546056523</v>
      </c>
      <c r="BP34" s="209">
        <v>6026.1145718242842</v>
      </c>
      <c r="BQ34" s="209">
        <v>5459.0147659022477</v>
      </c>
      <c r="BR34" s="209">
        <v>5130.9149458458969</v>
      </c>
      <c r="BS34" s="195"/>
      <c r="BT34" s="210"/>
      <c r="BU34" s="211"/>
      <c r="BV34" s="211"/>
      <c r="BW34" s="211"/>
      <c r="BX34" s="211"/>
      <c r="BY34" s="211"/>
      <c r="BZ34" s="212"/>
      <c r="CA34" s="213"/>
      <c r="CB34" s="211"/>
      <c r="CC34" s="211"/>
      <c r="CD34" s="211"/>
      <c r="CE34" s="211"/>
      <c r="CF34" s="211"/>
      <c r="CG34" s="214"/>
      <c r="CH34" s="211"/>
      <c r="CI34" s="211"/>
      <c r="CJ34" s="211"/>
      <c r="CK34" s="211"/>
    </row>
    <row r="35" spans="1:89">
      <c r="A35" s="242">
        <v>32</v>
      </c>
      <c r="B35" s="196">
        <v>12</v>
      </c>
      <c r="C35" s="240">
        <v>45992</v>
      </c>
      <c r="D35" s="246" t="s">
        <v>133</v>
      </c>
      <c r="E35" s="197" t="s">
        <v>98</v>
      </c>
      <c r="F35" s="198" t="s">
        <v>156</v>
      </c>
      <c r="G35" s="198" t="s">
        <v>237</v>
      </c>
      <c r="H35" s="198" t="s">
        <v>398</v>
      </c>
      <c r="I35" s="199" t="s">
        <v>197</v>
      </c>
      <c r="J35" s="200">
        <v>46010</v>
      </c>
      <c r="K35" s="200">
        <v>46012.166666666657</v>
      </c>
      <c r="L35" s="200">
        <v>46015.166666666657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2"/>
      <c r="AA35" s="201"/>
      <c r="AB35" s="201"/>
      <c r="AC35" s="201"/>
      <c r="AD35" s="202"/>
      <c r="AE35" s="202"/>
      <c r="AF35" s="201"/>
      <c r="AG35" s="202"/>
      <c r="AH35" s="201"/>
      <c r="AI35" s="201"/>
      <c r="AJ35" s="202"/>
      <c r="AK35" s="202"/>
      <c r="AL35" s="202"/>
      <c r="AM35" s="201"/>
      <c r="AN35" s="201"/>
      <c r="AO35" s="203"/>
      <c r="AP35" s="201"/>
      <c r="AQ35" s="201"/>
      <c r="AR35" s="202"/>
      <c r="AS35" s="201"/>
      <c r="AT35" s="201"/>
      <c r="AU35" s="202"/>
      <c r="AV35" s="203"/>
      <c r="AW35" s="201"/>
      <c r="AX35" s="201"/>
      <c r="AY35" s="202"/>
      <c r="AZ35" s="202"/>
      <c r="BA35" s="202"/>
      <c r="BB35" s="201"/>
      <c r="BC35" s="203"/>
      <c r="BD35" s="204">
        <v>75000</v>
      </c>
      <c r="BE35" s="241">
        <v>46010</v>
      </c>
      <c r="BF35" s="241">
        <v>46019</v>
      </c>
      <c r="BG35" s="205">
        <v>0.65866666666666662</v>
      </c>
      <c r="BH35" s="206" t="s">
        <v>115</v>
      </c>
      <c r="BI35" s="207"/>
      <c r="BJ35" s="208">
        <v>21.24417730854109</v>
      </c>
      <c r="BK35" s="208">
        <v>12.85601529320474</v>
      </c>
      <c r="BL35" s="208">
        <v>5.06925007434271</v>
      </c>
      <c r="BM35" s="208">
        <v>4.4939592405444211</v>
      </c>
      <c r="BN35" s="208">
        <v>0.8989148679559581</v>
      </c>
      <c r="BO35" s="208">
        <v>0.83349307389922667</v>
      </c>
      <c r="BP35" s="209">
        <v>6096.5245763772564</v>
      </c>
      <c r="BQ35" s="209">
        <v>5538.0105076917253</v>
      </c>
      <c r="BR35" s="209">
        <v>5212.3847921419647</v>
      </c>
      <c r="BS35" s="239"/>
      <c r="BT35" s="210"/>
      <c r="BU35" s="211"/>
      <c r="BV35" s="211"/>
      <c r="BW35" s="211"/>
      <c r="BX35" s="211"/>
      <c r="BY35" s="211"/>
      <c r="BZ35" s="212"/>
      <c r="CA35" s="213"/>
      <c r="CB35" s="211"/>
      <c r="CC35" s="211"/>
      <c r="CD35" s="211"/>
      <c r="CE35" s="211"/>
      <c r="CF35" s="211"/>
      <c r="CG35" s="214"/>
      <c r="CH35" s="211"/>
      <c r="CI35" s="211"/>
      <c r="CJ35" s="211"/>
      <c r="CK35" s="211"/>
    </row>
    <row r="36" spans="1:89">
      <c r="A36" s="242">
        <v>33</v>
      </c>
      <c r="B36" s="196">
        <v>13</v>
      </c>
      <c r="C36" s="240">
        <v>45992</v>
      </c>
      <c r="D36" s="246" t="s">
        <v>148</v>
      </c>
      <c r="E36" s="197" t="s">
        <v>98</v>
      </c>
      <c r="F36" s="198" t="s">
        <v>141</v>
      </c>
      <c r="G36" s="198" t="s">
        <v>304</v>
      </c>
      <c r="H36" s="198" t="s">
        <v>399</v>
      </c>
      <c r="I36" s="199" t="s">
        <v>197</v>
      </c>
      <c r="J36" s="200">
        <v>46011</v>
      </c>
      <c r="K36" s="200">
        <v>46012.166666666657</v>
      </c>
      <c r="L36" s="200">
        <v>46014.366666666669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2"/>
      <c r="AA36" s="201"/>
      <c r="AB36" s="201"/>
      <c r="AC36" s="201"/>
      <c r="AD36" s="202"/>
      <c r="AE36" s="202"/>
      <c r="AF36" s="201"/>
      <c r="AG36" s="202"/>
      <c r="AH36" s="201"/>
      <c r="AI36" s="201"/>
      <c r="AJ36" s="202"/>
      <c r="AK36" s="202"/>
      <c r="AL36" s="202"/>
      <c r="AM36" s="201"/>
      <c r="AN36" s="201"/>
      <c r="AO36" s="203"/>
      <c r="AP36" s="201"/>
      <c r="AQ36" s="201"/>
      <c r="AR36" s="202"/>
      <c r="AS36" s="201"/>
      <c r="AT36" s="201"/>
      <c r="AU36" s="202"/>
      <c r="AV36" s="203"/>
      <c r="AW36" s="201"/>
      <c r="AX36" s="201"/>
      <c r="AY36" s="202"/>
      <c r="AZ36" s="202"/>
      <c r="BA36" s="202"/>
      <c r="BB36" s="201"/>
      <c r="BC36" s="203"/>
      <c r="BD36" s="204">
        <v>55000</v>
      </c>
      <c r="BE36" s="241">
        <v>46011</v>
      </c>
      <c r="BF36" s="241">
        <v>46020</v>
      </c>
      <c r="BG36" s="205">
        <v>0.72727272727272729</v>
      </c>
      <c r="BH36" s="206" t="s">
        <v>115</v>
      </c>
      <c r="BI36" s="207"/>
      <c r="BJ36" s="208">
        <v>14.60261490726837</v>
      </c>
      <c r="BK36" s="208">
        <v>8.6638099017103087</v>
      </c>
      <c r="BL36" s="208">
        <v>5.8132868051282696</v>
      </c>
      <c r="BM36" s="208">
        <v>5.4282940276757463</v>
      </c>
      <c r="BN36" s="208">
        <v>1.180857164762031</v>
      </c>
      <c r="BO36" s="208">
        <v>1.1028895640784839</v>
      </c>
      <c r="BP36" s="209">
        <v>6560.2568037787069</v>
      </c>
      <c r="BQ36" s="209">
        <v>6136.2522576242827</v>
      </c>
      <c r="BR36" s="209">
        <v>5826.5403232192066</v>
      </c>
      <c r="BS36" s="239"/>
      <c r="BT36" s="210"/>
      <c r="BU36" s="211"/>
      <c r="BV36" s="211"/>
      <c r="BW36" s="211"/>
      <c r="BX36" s="211"/>
      <c r="BY36" s="211"/>
      <c r="BZ36" s="212"/>
      <c r="CA36" s="213"/>
      <c r="CB36" s="211"/>
      <c r="CC36" s="211"/>
      <c r="CD36" s="211"/>
      <c r="CE36" s="211"/>
      <c r="CF36" s="211"/>
      <c r="CG36" s="214"/>
      <c r="CH36" s="211"/>
      <c r="CI36" s="211"/>
      <c r="CJ36" s="211"/>
      <c r="CK36" s="211"/>
    </row>
    <row r="37" spans="1:89">
      <c r="A37" s="242">
        <v>34</v>
      </c>
      <c r="B37" s="196">
        <v>14</v>
      </c>
      <c r="C37" s="240">
        <v>45992</v>
      </c>
      <c r="D37" s="246" t="s">
        <v>133</v>
      </c>
      <c r="E37" s="197" t="s">
        <v>98</v>
      </c>
      <c r="F37" s="198" t="s">
        <v>141</v>
      </c>
      <c r="G37" s="198" t="s">
        <v>345</v>
      </c>
      <c r="H37" s="198" t="s">
        <v>400</v>
      </c>
      <c r="I37" s="199" t="s">
        <v>197</v>
      </c>
      <c r="J37" s="200">
        <v>46013</v>
      </c>
      <c r="K37" s="200">
        <v>46015.166666666657</v>
      </c>
      <c r="L37" s="200">
        <v>46018.166666666657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2"/>
      <c r="AA37" s="201"/>
      <c r="AB37" s="201"/>
      <c r="AC37" s="201"/>
      <c r="AD37" s="202"/>
      <c r="AE37" s="202"/>
      <c r="AF37" s="201"/>
      <c r="AG37" s="202"/>
      <c r="AH37" s="201"/>
      <c r="AI37" s="201"/>
      <c r="AJ37" s="202"/>
      <c r="AK37" s="202"/>
      <c r="AL37" s="202"/>
      <c r="AM37" s="201"/>
      <c r="AN37" s="201"/>
      <c r="AO37" s="203"/>
      <c r="AP37" s="201"/>
      <c r="AQ37" s="201"/>
      <c r="AR37" s="202"/>
      <c r="AS37" s="201"/>
      <c r="AT37" s="201"/>
      <c r="AU37" s="202"/>
      <c r="AV37" s="203"/>
      <c r="AW37" s="201"/>
      <c r="AX37" s="201"/>
      <c r="AY37" s="202"/>
      <c r="AZ37" s="202"/>
      <c r="BA37" s="202"/>
      <c r="BB37" s="201"/>
      <c r="BC37" s="203"/>
      <c r="BD37" s="204">
        <v>75000</v>
      </c>
      <c r="BE37" s="241">
        <v>46013</v>
      </c>
      <c r="BF37" s="241">
        <v>46022</v>
      </c>
      <c r="BG37" s="205">
        <v>0.72933333333333328</v>
      </c>
      <c r="BH37" s="206" t="s">
        <v>115</v>
      </c>
      <c r="BI37" s="207"/>
      <c r="BJ37" s="208">
        <v>17.62245341834128</v>
      </c>
      <c r="BK37" s="208">
        <v>10.988083327439449</v>
      </c>
      <c r="BL37" s="208">
        <v>4.0441592218964981</v>
      </c>
      <c r="BM37" s="208">
        <v>3.7269500301534921</v>
      </c>
      <c r="BN37" s="208">
        <v>0.84351086589795432</v>
      </c>
      <c r="BO37" s="208">
        <v>0.79447737231628468</v>
      </c>
      <c r="BP37" s="209">
        <v>6452.3518723208344</v>
      </c>
      <c r="BQ37" s="209">
        <v>5988.3068136847314</v>
      </c>
      <c r="BR37" s="209">
        <v>5669.9319306717753</v>
      </c>
      <c r="BS37" s="239"/>
      <c r="BT37" s="210"/>
      <c r="BU37" s="211"/>
      <c r="BV37" s="211"/>
      <c r="BW37" s="211"/>
      <c r="BX37" s="211"/>
      <c r="BY37" s="211"/>
      <c r="BZ37" s="212"/>
      <c r="CA37" s="213"/>
      <c r="CB37" s="211"/>
      <c r="CC37" s="211"/>
      <c r="CD37" s="211"/>
      <c r="CE37" s="211"/>
      <c r="CF37" s="211"/>
      <c r="CG37" s="214"/>
      <c r="CH37" s="211"/>
      <c r="CI37" s="211"/>
      <c r="CJ37" s="211"/>
      <c r="CK37" s="211"/>
    </row>
    <row r="38" spans="1:89">
      <c r="A38" s="242">
        <v>35</v>
      </c>
      <c r="B38" s="196">
        <v>15</v>
      </c>
      <c r="C38" s="240">
        <v>45992</v>
      </c>
      <c r="D38" s="246" t="s">
        <v>133</v>
      </c>
      <c r="E38" s="197" t="s">
        <v>98</v>
      </c>
      <c r="F38" s="198" t="s">
        <v>141</v>
      </c>
      <c r="G38" s="198" t="s">
        <v>401</v>
      </c>
      <c r="H38" s="198" t="s">
        <v>402</v>
      </c>
      <c r="I38" s="199" t="s">
        <v>197</v>
      </c>
      <c r="J38" s="200">
        <v>46015</v>
      </c>
      <c r="K38" s="200">
        <v>46017.166666666657</v>
      </c>
      <c r="L38" s="200">
        <v>46020.166666666657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2"/>
      <c r="AA38" s="201"/>
      <c r="AB38" s="201"/>
      <c r="AC38" s="201"/>
      <c r="AD38" s="202"/>
      <c r="AE38" s="202"/>
      <c r="AF38" s="201"/>
      <c r="AG38" s="202"/>
      <c r="AH38" s="201"/>
      <c r="AI38" s="201"/>
      <c r="AJ38" s="202"/>
      <c r="AK38" s="202"/>
      <c r="AL38" s="202"/>
      <c r="AM38" s="201"/>
      <c r="AN38" s="201"/>
      <c r="AO38" s="203"/>
      <c r="AP38" s="201"/>
      <c r="AQ38" s="201"/>
      <c r="AR38" s="202"/>
      <c r="AS38" s="201"/>
      <c r="AT38" s="201"/>
      <c r="AU38" s="202"/>
      <c r="AV38" s="203"/>
      <c r="AW38" s="201"/>
      <c r="AX38" s="201"/>
      <c r="AY38" s="202"/>
      <c r="AZ38" s="202"/>
      <c r="BA38" s="202"/>
      <c r="BB38" s="201"/>
      <c r="BC38" s="203"/>
      <c r="BD38" s="204">
        <v>75000</v>
      </c>
      <c r="BE38" s="241">
        <v>46015</v>
      </c>
      <c r="BF38" s="241">
        <v>46024</v>
      </c>
      <c r="BG38" s="205">
        <v>0.6</v>
      </c>
      <c r="BH38" s="206" t="s">
        <v>115</v>
      </c>
      <c r="BI38" s="207"/>
      <c r="BJ38" s="208">
        <v>16.20794730499286</v>
      </c>
      <c r="BK38" s="208">
        <v>10.673477455207561</v>
      </c>
      <c r="BL38" s="208">
        <v>4.4845257156461429</v>
      </c>
      <c r="BM38" s="208">
        <v>4.1828403860785146</v>
      </c>
      <c r="BN38" s="208">
        <v>0.91648542083982976</v>
      </c>
      <c r="BO38" s="208">
        <v>0.86047604571709302</v>
      </c>
      <c r="BP38" s="209">
        <v>6475.6315033845149</v>
      </c>
      <c r="BQ38" s="209">
        <v>6077.1805957986207</v>
      </c>
      <c r="BR38" s="209">
        <v>5785.4271504471317</v>
      </c>
      <c r="BS38" s="239"/>
      <c r="BT38" s="210"/>
      <c r="BU38" s="211"/>
      <c r="BV38" s="211"/>
      <c r="BW38" s="211"/>
      <c r="BX38" s="211"/>
      <c r="BY38" s="211"/>
      <c r="BZ38" s="212"/>
      <c r="CA38" s="213"/>
      <c r="CB38" s="211"/>
      <c r="CC38" s="211"/>
      <c r="CD38" s="211"/>
      <c r="CE38" s="211"/>
      <c r="CF38" s="211"/>
      <c r="CG38" s="214"/>
      <c r="CH38" s="211"/>
      <c r="CI38" s="211"/>
      <c r="CJ38" s="211"/>
      <c r="CK38" s="211"/>
    </row>
    <row r="39" spans="1:89">
      <c r="A39" s="242">
        <v>36</v>
      </c>
      <c r="B39" s="196">
        <v>16</v>
      </c>
      <c r="C39" s="240">
        <v>45992</v>
      </c>
      <c r="D39" s="246" t="s">
        <v>133</v>
      </c>
      <c r="E39" s="197" t="s">
        <v>98</v>
      </c>
      <c r="F39" s="198" t="s">
        <v>141</v>
      </c>
      <c r="G39" s="198" t="s">
        <v>301</v>
      </c>
      <c r="H39" s="198" t="s">
        <v>403</v>
      </c>
      <c r="I39" s="199" t="s">
        <v>197</v>
      </c>
      <c r="J39" s="200">
        <v>46017</v>
      </c>
      <c r="K39" s="200">
        <v>46019.166666666657</v>
      </c>
      <c r="L39" s="200">
        <v>46021.966666666667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2"/>
      <c r="AA39" s="201"/>
      <c r="AB39" s="201"/>
      <c r="AC39" s="201"/>
      <c r="AD39" s="202"/>
      <c r="AE39" s="202"/>
      <c r="AF39" s="201"/>
      <c r="AG39" s="202"/>
      <c r="AH39" s="201"/>
      <c r="AI39" s="201"/>
      <c r="AJ39" s="202"/>
      <c r="AK39" s="202"/>
      <c r="AL39" s="202"/>
      <c r="AM39" s="201"/>
      <c r="AN39" s="201"/>
      <c r="AO39" s="203"/>
      <c r="AP39" s="201"/>
      <c r="AQ39" s="201"/>
      <c r="AR39" s="202"/>
      <c r="AS39" s="201"/>
      <c r="AT39" s="201"/>
      <c r="AU39" s="202"/>
      <c r="AV39" s="203"/>
      <c r="AW39" s="201"/>
      <c r="AX39" s="201"/>
      <c r="AY39" s="202"/>
      <c r="AZ39" s="202"/>
      <c r="BA39" s="202"/>
      <c r="BB39" s="201"/>
      <c r="BC39" s="203"/>
      <c r="BD39" s="204">
        <v>70000</v>
      </c>
      <c r="BE39" s="241">
        <v>46017</v>
      </c>
      <c r="BF39" s="241">
        <v>46026</v>
      </c>
      <c r="BG39" s="205">
        <v>0.7857142857142857</v>
      </c>
      <c r="BH39" s="206" t="s">
        <v>115</v>
      </c>
      <c r="BI39" s="207"/>
      <c r="BJ39" s="208">
        <v>14.974403120776421</v>
      </c>
      <c r="BK39" s="208">
        <v>9.850448540292053</v>
      </c>
      <c r="BL39" s="208">
        <v>3.6764003411472719</v>
      </c>
      <c r="BM39" s="208">
        <v>3.4512760160118141</v>
      </c>
      <c r="BN39" s="208">
        <v>0.60545390528822018</v>
      </c>
      <c r="BO39" s="208">
        <v>0.57390368743018871</v>
      </c>
      <c r="BP39" s="209">
        <v>6625.8605645942907</v>
      </c>
      <c r="BQ39" s="209">
        <v>6254.4401272847044</v>
      </c>
      <c r="BR39" s="209">
        <v>5943.7680444543166</v>
      </c>
      <c r="BS39" s="239"/>
      <c r="BT39" s="210"/>
      <c r="BU39" s="211"/>
      <c r="BV39" s="211"/>
      <c r="BW39" s="211"/>
      <c r="BX39" s="211"/>
      <c r="BY39" s="211"/>
      <c r="BZ39" s="212"/>
      <c r="CA39" s="213"/>
      <c r="CB39" s="211"/>
      <c r="CC39" s="211"/>
      <c r="CD39" s="211"/>
      <c r="CE39" s="211"/>
      <c r="CF39" s="211"/>
      <c r="CG39" s="214"/>
      <c r="CH39" s="211"/>
      <c r="CI39" s="211"/>
      <c r="CJ39" s="211"/>
      <c r="CK39" s="211"/>
    </row>
    <row r="40" spans="1:89">
      <c r="A40" s="242">
        <v>37</v>
      </c>
      <c r="B40" s="196">
        <v>17</v>
      </c>
      <c r="C40" s="240">
        <v>45992</v>
      </c>
      <c r="D40" s="246" t="s">
        <v>148</v>
      </c>
      <c r="E40" s="197" t="s">
        <v>98</v>
      </c>
      <c r="F40" s="198" t="s">
        <v>141</v>
      </c>
      <c r="G40" s="198" t="s">
        <v>404</v>
      </c>
      <c r="H40" s="198" t="s">
        <v>405</v>
      </c>
      <c r="I40" s="199" t="s">
        <v>197</v>
      </c>
      <c r="J40" s="200">
        <v>46017</v>
      </c>
      <c r="K40" s="200">
        <v>46019</v>
      </c>
      <c r="L40" s="200">
        <v>46021.8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2"/>
      <c r="AA40" s="201"/>
      <c r="AB40" s="201"/>
      <c r="AC40" s="201"/>
      <c r="AD40" s="202"/>
      <c r="AE40" s="202"/>
      <c r="AF40" s="201"/>
      <c r="AG40" s="202"/>
      <c r="AH40" s="201"/>
      <c r="AI40" s="201"/>
      <c r="AJ40" s="202"/>
      <c r="AK40" s="202"/>
      <c r="AL40" s="202"/>
      <c r="AM40" s="201"/>
      <c r="AN40" s="201"/>
      <c r="AO40" s="203"/>
      <c r="AP40" s="201"/>
      <c r="AQ40" s="201"/>
      <c r="AR40" s="202"/>
      <c r="AS40" s="201"/>
      <c r="AT40" s="201"/>
      <c r="AU40" s="202"/>
      <c r="AV40" s="203"/>
      <c r="AW40" s="201"/>
      <c r="AX40" s="201"/>
      <c r="AY40" s="202"/>
      <c r="AZ40" s="202"/>
      <c r="BA40" s="202"/>
      <c r="BB40" s="201"/>
      <c r="BC40" s="203"/>
      <c r="BD40" s="204">
        <v>70000</v>
      </c>
      <c r="BE40" s="241">
        <v>46017</v>
      </c>
      <c r="BF40" s="241">
        <v>46026</v>
      </c>
      <c r="BG40" s="205">
        <v>0.6785714285714286</v>
      </c>
      <c r="BH40" s="206" t="s">
        <v>115</v>
      </c>
      <c r="BI40" s="207"/>
      <c r="BJ40" s="208">
        <v>13.580047629574979</v>
      </c>
      <c r="BK40" s="208">
        <v>7.9479682591738188</v>
      </c>
      <c r="BL40" s="208">
        <v>5.0170222439392154</v>
      </c>
      <c r="BM40" s="208">
        <v>4.6984435336701589</v>
      </c>
      <c r="BN40" s="208">
        <v>0.77209146050436983</v>
      </c>
      <c r="BO40" s="208">
        <v>0.72201338112391089</v>
      </c>
      <c r="BP40" s="209">
        <v>6721.6379584378574</v>
      </c>
      <c r="BQ40" s="209">
        <v>6313.7821241487927</v>
      </c>
      <c r="BR40" s="209">
        <v>6012.8238192487916</v>
      </c>
      <c r="BS40" s="239"/>
      <c r="BT40" s="210"/>
      <c r="BU40" s="211"/>
      <c r="BV40" s="211"/>
      <c r="BW40" s="211"/>
      <c r="BX40" s="211"/>
      <c r="BY40" s="211"/>
      <c r="BZ40" s="212"/>
      <c r="CA40" s="213"/>
      <c r="CB40" s="211"/>
      <c r="CC40" s="211"/>
      <c r="CD40" s="211"/>
      <c r="CE40" s="211"/>
      <c r="CF40" s="211"/>
      <c r="CG40" s="214"/>
      <c r="CH40" s="211"/>
      <c r="CI40" s="211"/>
      <c r="CJ40" s="211"/>
      <c r="CK40" s="211"/>
    </row>
    <row r="41" spans="1:89">
      <c r="A41" s="242">
        <v>38</v>
      </c>
      <c r="B41" s="196">
        <v>18</v>
      </c>
      <c r="C41" s="240">
        <v>45992</v>
      </c>
      <c r="D41" s="246" t="s">
        <v>148</v>
      </c>
      <c r="E41" s="197" t="s">
        <v>179</v>
      </c>
      <c r="F41" s="198" t="s">
        <v>186</v>
      </c>
      <c r="G41" s="198" t="s">
        <v>406</v>
      </c>
      <c r="H41" s="198" t="s">
        <v>407</v>
      </c>
      <c r="I41" s="199" t="s">
        <v>408</v>
      </c>
      <c r="J41" s="200">
        <v>46017</v>
      </c>
      <c r="K41" s="200">
        <v>46017.041666666657</v>
      </c>
      <c r="L41" s="200">
        <v>46017.341666666667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2"/>
      <c r="AA41" s="201"/>
      <c r="AB41" s="201"/>
      <c r="AC41" s="201"/>
      <c r="AD41" s="202"/>
      <c r="AE41" s="202"/>
      <c r="AF41" s="201"/>
      <c r="AG41" s="202"/>
      <c r="AH41" s="201"/>
      <c r="AI41" s="201"/>
      <c r="AJ41" s="202"/>
      <c r="AK41" s="202"/>
      <c r="AL41" s="202"/>
      <c r="AM41" s="201"/>
      <c r="AN41" s="201"/>
      <c r="AO41" s="203"/>
      <c r="AP41" s="201"/>
      <c r="AQ41" s="201"/>
      <c r="AR41" s="202"/>
      <c r="AS41" s="201"/>
      <c r="AT41" s="201"/>
      <c r="AU41" s="202"/>
      <c r="AV41" s="203"/>
      <c r="AW41" s="201"/>
      <c r="AX41" s="201"/>
      <c r="AY41" s="202"/>
      <c r="AZ41" s="202"/>
      <c r="BA41" s="202"/>
      <c r="BB41" s="201"/>
      <c r="BC41" s="203"/>
      <c r="BD41" s="204">
        <v>7500</v>
      </c>
      <c r="BE41" s="241"/>
      <c r="BF41" s="241"/>
      <c r="BG41" s="205">
        <v>1</v>
      </c>
      <c r="BH41" s="206" t="s">
        <v>115</v>
      </c>
      <c r="BI41" s="207"/>
      <c r="BJ41" s="208">
        <v>11.81648531795142</v>
      </c>
      <c r="BK41" s="208">
        <v>5.9747307868781299</v>
      </c>
      <c r="BL41" s="208">
        <v>6.2919634409532019</v>
      </c>
      <c r="BM41" s="208">
        <v>5.8982608992446783</v>
      </c>
      <c r="BN41" s="208">
        <v>1.5499996868830299</v>
      </c>
      <c r="BO41" s="208">
        <v>1.452140002952184</v>
      </c>
      <c r="BP41" s="209">
        <v>6850.268264804663</v>
      </c>
      <c r="BQ41" s="209">
        <v>6424.8740637654464</v>
      </c>
      <c r="BR41" s="209">
        <v>6119.3334082884176</v>
      </c>
      <c r="BS41" s="239"/>
      <c r="BT41" s="210"/>
      <c r="BU41" s="211"/>
      <c r="BV41" s="211"/>
      <c r="BW41" s="211"/>
      <c r="BX41" s="211"/>
      <c r="BY41" s="211"/>
      <c r="BZ41" s="212"/>
      <c r="CA41" s="213"/>
      <c r="CB41" s="211"/>
      <c r="CC41" s="211"/>
      <c r="CD41" s="211"/>
      <c r="CE41" s="211"/>
      <c r="CF41" s="211"/>
      <c r="CG41" s="214"/>
      <c r="CH41" s="211"/>
      <c r="CI41" s="211"/>
      <c r="CJ41" s="211"/>
      <c r="CK41" s="211"/>
    </row>
    <row r="42" spans="1:89">
      <c r="A42" s="242">
        <v>39</v>
      </c>
      <c r="B42" s="196">
        <v>19</v>
      </c>
      <c r="C42" s="240">
        <v>45992</v>
      </c>
      <c r="D42" s="246" t="s">
        <v>25</v>
      </c>
      <c r="E42" s="197" t="s">
        <v>179</v>
      </c>
      <c r="F42" s="198" t="s">
        <v>186</v>
      </c>
      <c r="G42" s="198" t="s">
        <v>363</v>
      </c>
      <c r="H42" s="198" t="s">
        <v>409</v>
      </c>
      <c r="I42" s="199" t="s">
        <v>365</v>
      </c>
      <c r="J42" s="200">
        <v>45999</v>
      </c>
      <c r="K42" s="200">
        <v>45999.041666666657</v>
      </c>
      <c r="L42" s="200">
        <v>46000.084523807869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2"/>
      <c r="AA42" s="201"/>
      <c r="AB42" s="201"/>
      <c r="AC42" s="201"/>
      <c r="AD42" s="202"/>
      <c r="AE42" s="202"/>
      <c r="AF42" s="201"/>
      <c r="AG42" s="202"/>
      <c r="AH42" s="201"/>
      <c r="AI42" s="201"/>
      <c r="AJ42" s="202"/>
      <c r="AK42" s="202"/>
      <c r="AL42" s="202"/>
      <c r="AM42" s="201"/>
      <c r="AN42" s="201"/>
      <c r="AO42" s="203"/>
      <c r="AP42" s="201"/>
      <c r="AQ42" s="201"/>
      <c r="AR42" s="202"/>
      <c r="AS42" s="201"/>
      <c r="AT42" s="201"/>
      <c r="AU42" s="202"/>
      <c r="AV42" s="203"/>
      <c r="AW42" s="201"/>
      <c r="AX42" s="201"/>
      <c r="AY42" s="202"/>
      <c r="AZ42" s="202"/>
      <c r="BA42" s="202"/>
      <c r="BB42" s="201"/>
      <c r="BC42" s="203"/>
      <c r="BD42" s="204">
        <v>7300</v>
      </c>
      <c r="BE42" s="241"/>
      <c r="BF42" s="241"/>
      <c r="BG42" s="205">
        <v>1</v>
      </c>
      <c r="BH42" s="206" t="s">
        <v>115</v>
      </c>
      <c r="BI42" s="207"/>
      <c r="BJ42" s="208">
        <v>30.285224747159951</v>
      </c>
      <c r="BK42" s="208">
        <v>16.447043247592081</v>
      </c>
      <c r="BL42" s="208">
        <v>4.0192421663145712</v>
      </c>
      <c r="BM42" s="208">
        <v>3.3535685055607942</v>
      </c>
      <c r="BN42" s="208">
        <v>0.41274916180156351</v>
      </c>
      <c r="BO42" s="208">
        <v>0.34438895006507181</v>
      </c>
      <c r="BP42" s="209">
        <v>5347.6328510188032</v>
      </c>
      <c r="BQ42" s="209">
        <v>4461.9488864795449</v>
      </c>
      <c r="BR42" s="209">
        <v>4102.299359269522</v>
      </c>
      <c r="BS42" s="239"/>
      <c r="BT42" s="210"/>
      <c r="BU42" s="211"/>
      <c r="BV42" s="211"/>
      <c r="BW42" s="211"/>
      <c r="BX42" s="211"/>
      <c r="BY42" s="211"/>
      <c r="BZ42" s="212"/>
      <c r="CA42" s="213"/>
      <c r="CB42" s="211"/>
      <c r="CC42" s="211"/>
      <c r="CD42" s="211"/>
      <c r="CE42" s="211"/>
      <c r="CF42" s="211"/>
      <c r="CG42" s="214"/>
      <c r="CH42" s="211"/>
      <c r="CI42" s="211"/>
      <c r="CJ42" s="211"/>
      <c r="CK42" s="211"/>
    </row>
    <row r="43" spans="1:89">
      <c r="A43" s="242">
        <v>40</v>
      </c>
      <c r="B43" s="196">
        <v>20</v>
      </c>
      <c r="C43" s="240">
        <v>45992</v>
      </c>
      <c r="D43" s="246" t="s">
        <v>25</v>
      </c>
      <c r="E43" s="197" t="s">
        <v>179</v>
      </c>
      <c r="F43" s="198" t="s">
        <v>186</v>
      </c>
      <c r="G43" s="198" t="s">
        <v>363</v>
      </c>
      <c r="H43" s="198" t="s">
        <v>410</v>
      </c>
      <c r="I43" s="199" t="s">
        <v>365</v>
      </c>
      <c r="J43" s="200">
        <v>46003</v>
      </c>
      <c r="K43" s="200">
        <v>46003.041666666657</v>
      </c>
      <c r="L43" s="200">
        <v>46004.084523807869</v>
      </c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2"/>
      <c r="AA43" s="201"/>
      <c r="AB43" s="201"/>
      <c r="AC43" s="201"/>
      <c r="AD43" s="202"/>
      <c r="AE43" s="202"/>
      <c r="AF43" s="201"/>
      <c r="AG43" s="202"/>
      <c r="AH43" s="201"/>
      <c r="AI43" s="201"/>
      <c r="AJ43" s="202"/>
      <c r="AK43" s="202"/>
      <c r="AL43" s="202"/>
      <c r="AM43" s="201"/>
      <c r="AN43" s="201"/>
      <c r="AO43" s="203"/>
      <c r="AP43" s="201"/>
      <c r="AQ43" s="201"/>
      <c r="AR43" s="202"/>
      <c r="AS43" s="201"/>
      <c r="AT43" s="201"/>
      <c r="AU43" s="202"/>
      <c r="AV43" s="203"/>
      <c r="AW43" s="201"/>
      <c r="AX43" s="201"/>
      <c r="AY43" s="202"/>
      <c r="AZ43" s="202"/>
      <c r="BA43" s="202"/>
      <c r="BB43" s="201"/>
      <c r="BC43" s="203"/>
      <c r="BD43" s="204">
        <v>7300</v>
      </c>
      <c r="BE43" s="241"/>
      <c r="BF43" s="241"/>
      <c r="BG43" s="205">
        <v>1</v>
      </c>
      <c r="BH43" s="206" t="s">
        <v>115</v>
      </c>
      <c r="BI43" s="207"/>
      <c r="BJ43" s="208">
        <v>30.285224747159951</v>
      </c>
      <c r="BK43" s="208">
        <v>16.447043247592081</v>
      </c>
      <c r="BL43" s="208">
        <v>4.0192421663145712</v>
      </c>
      <c r="BM43" s="208">
        <v>3.3535685055607942</v>
      </c>
      <c r="BN43" s="208">
        <v>0.41274916180156351</v>
      </c>
      <c r="BO43" s="208">
        <v>0.34438895006507181</v>
      </c>
      <c r="BP43" s="209">
        <v>5347.6328510188032</v>
      </c>
      <c r="BQ43" s="209">
        <v>4461.9488864795449</v>
      </c>
      <c r="BR43" s="209">
        <v>4102.299359269522</v>
      </c>
      <c r="BS43" s="239"/>
      <c r="BT43" s="210"/>
      <c r="BU43" s="211"/>
      <c r="BV43" s="211"/>
      <c r="BW43" s="211"/>
      <c r="BX43" s="211"/>
      <c r="BY43" s="211"/>
      <c r="BZ43" s="212"/>
      <c r="CA43" s="213"/>
      <c r="CB43" s="211"/>
      <c r="CC43" s="211"/>
      <c r="CD43" s="211"/>
      <c r="CE43" s="211"/>
      <c r="CF43" s="211"/>
      <c r="CG43" s="214"/>
      <c r="CH43" s="211"/>
      <c r="CI43" s="211"/>
      <c r="CJ43" s="211"/>
      <c r="CK43" s="211"/>
    </row>
    <row r="44" spans="1:89">
      <c r="A44" s="327">
        <v>41</v>
      </c>
      <c r="B44" s="320">
        <v>21</v>
      </c>
      <c r="C44" s="321">
        <v>45992</v>
      </c>
      <c r="D44" s="328" t="s">
        <v>25</v>
      </c>
      <c r="E44" s="293" t="s">
        <v>179</v>
      </c>
      <c r="F44" s="322" t="s">
        <v>186</v>
      </c>
      <c r="G44" s="322" t="s">
        <v>363</v>
      </c>
      <c r="H44" s="322" t="s">
        <v>411</v>
      </c>
      <c r="I44" s="329" t="s">
        <v>365</v>
      </c>
      <c r="J44" s="323">
        <v>46011</v>
      </c>
      <c r="K44" s="323">
        <v>46011.041666666657</v>
      </c>
      <c r="L44" s="323">
        <v>46012.084523807869</v>
      </c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03"/>
      <c r="AA44" s="324"/>
      <c r="AB44" s="324"/>
      <c r="AC44" s="324"/>
      <c r="AD44" s="303"/>
      <c r="AE44" s="303"/>
      <c r="AF44" s="324"/>
      <c r="AG44" s="303"/>
      <c r="AH44" s="324"/>
      <c r="AI44" s="324"/>
      <c r="AJ44" s="303"/>
      <c r="AK44" s="303"/>
      <c r="AL44" s="303"/>
      <c r="AM44" s="324"/>
      <c r="AN44" s="324"/>
      <c r="AO44" s="301"/>
      <c r="AP44" s="324"/>
      <c r="AQ44" s="324"/>
      <c r="AR44" s="303"/>
      <c r="AS44" s="324"/>
      <c r="AT44" s="324"/>
      <c r="AU44" s="303"/>
      <c r="AV44" s="301"/>
      <c r="AW44" s="324"/>
      <c r="AX44" s="324"/>
      <c r="AY44" s="303"/>
      <c r="AZ44" s="303"/>
      <c r="BA44" s="303"/>
      <c r="BB44" s="324"/>
      <c r="BC44" s="301"/>
      <c r="BD44" s="304">
        <v>7300</v>
      </c>
      <c r="BE44" s="325"/>
      <c r="BF44" s="325"/>
      <c r="BG44" s="307">
        <v>1</v>
      </c>
      <c r="BH44" s="308" t="s">
        <v>115</v>
      </c>
      <c r="BI44" s="309"/>
      <c r="BJ44" s="310">
        <v>30.285224747159951</v>
      </c>
      <c r="BK44" s="310">
        <v>16.447043247592081</v>
      </c>
      <c r="BL44" s="310">
        <v>4.0192421663145712</v>
      </c>
      <c r="BM44" s="310">
        <v>3.3535685055607942</v>
      </c>
      <c r="BN44" s="310">
        <v>0.41274916180156351</v>
      </c>
      <c r="BO44" s="310">
        <v>0.34438895006507181</v>
      </c>
      <c r="BP44" s="311">
        <v>5347.6328510188032</v>
      </c>
      <c r="BQ44" s="311">
        <v>4461.9488864795449</v>
      </c>
      <c r="BR44" s="311">
        <v>4102.299359269522</v>
      </c>
      <c r="BS44" s="313"/>
      <c r="BT44" s="326"/>
      <c r="BU44" s="314"/>
      <c r="BV44" s="314"/>
      <c r="BW44" s="314"/>
      <c r="BX44" s="314"/>
      <c r="BY44" s="314"/>
      <c r="BZ44" s="315"/>
      <c r="CA44" s="330"/>
      <c r="CB44" s="314"/>
      <c r="CC44" s="314"/>
      <c r="CD44" s="314"/>
      <c r="CE44" s="314"/>
      <c r="CF44" s="314"/>
      <c r="CG44" s="318"/>
      <c r="CH44" s="314"/>
      <c r="CI44" s="314"/>
      <c r="CJ44" s="314"/>
      <c r="CK44" s="314"/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K48"/>
  <sheetViews>
    <sheetView zoomScale="65" workbookViewId="0">
      <selection activeCell="E21" sqref="E21:E24"/>
    </sheetView>
  </sheetViews>
  <sheetFormatPr defaultRowHeight="14.4"/>
  <cols>
    <col min="1" max="1" width="3.88671875" customWidth="1"/>
    <col min="2" max="2" width="14.6640625" bestFit="1" customWidth="1"/>
    <col min="3" max="3" width="8.77734375" bestFit="1" customWidth="1"/>
    <col min="4" max="4" width="11.33203125" style="247" bestFit="1" customWidth="1"/>
    <col min="10" max="10" width="14" bestFit="1" customWidth="1"/>
    <col min="11" max="11" width="16.109375" customWidth="1"/>
    <col min="12" max="12" width="15.88671875" customWidth="1"/>
    <col min="13" max="14" width="9" bestFit="1" customWidth="1"/>
    <col min="16" max="19" width="9" bestFit="1" customWidth="1"/>
    <col min="21" max="22" width="9" bestFit="1" customWidth="1"/>
    <col min="24" max="35" width="9" bestFit="1" customWidth="1"/>
  </cols>
  <sheetData>
    <row r="3" spans="1:89">
      <c r="A3" s="231" t="s">
        <v>0</v>
      </c>
      <c r="B3" s="8" t="s">
        <v>1</v>
      </c>
      <c r="C3" s="8" t="s">
        <v>2</v>
      </c>
      <c r="D3" s="243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9" t="s">
        <v>11</v>
      </c>
      <c r="L3" s="9" t="s">
        <v>13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17" t="s">
        <v>25</v>
      </c>
      <c r="X3" s="17" t="s">
        <v>26</v>
      </c>
      <c r="Y3" s="17" t="s">
        <v>28</v>
      </c>
      <c r="Z3" s="17" t="s">
        <v>29</v>
      </c>
      <c r="AA3" s="17" t="s">
        <v>30</v>
      </c>
      <c r="AB3" s="18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7" t="s">
        <v>36</v>
      </c>
      <c r="AH3" s="17" t="s">
        <v>37</v>
      </c>
      <c r="AI3" s="17" t="s">
        <v>38</v>
      </c>
      <c r="AJ3" s="17" t="s">
        <v>39</v>
      </c>
      <c r="AK3" s="30" t="s">
        <v>40</v>
      </c>
      <c r="AL3" s="19" t="s">
        <v>41</v>
      </c>
      <c r="AM3" s="18" t="s">
        <v>42</v>
      </c>
      <c r="AN3" s="17" t="s">
        <v>43</v>
      </c>
      <c r="AO3" s="18" t="s">
        <v>44</v>
      </c>
      <c r="AP3" s="17" t="s">
        <v>45</v>
      </c>
      <c r="AQ3" s="18" t="s">
        <v>46</v>
      </c>
      <c r="AR3" s="18" t="s">
        <v>47</v>
      </c>
      <c r="AS3" s="17" t="s">
        <v>48</v>
      </c>
      <c r="AT3" s="18" t="s">
        <v>49</v>
      </c>
      <c r="AU3" s="18" t="s">
        <v>50</v>
      </c>
      <c r="AV3" s="17" t="s">
        <v>51</v>
      </c>
      <c r="AW3" s="17" t="s">
        <v>52</v>
      </c>
      <c r="AX3" s="17" t="s">
        <v>53</v>
      </c>
      <c r="AY3" s="17" t="s">
        <v>54</v>
      </c>
      <c r="AZ3" s="17" t="s">
        <v>55</v>
      </c>
      <c r="BA3" s="17" t="s">
        <v>56</v>
      </c>
      <c r="BB3" s="17" t="s">
        <v>57</v>
      </c>
      <c r="BC3" s="17" t="s">
        <v>59</v>
      </c>
      <c r="BD3" s="8" t="s">
        <v>61</v>
      </c>
      <c r="BE3" s="1" t="s">
        <v>62</v>
      </c>
      <c r="BF3" s="1" t="s">
        <v>64</v>
      </c>
      <c r="BG3" s="8" t="s">
        <v>66</v>
      </c>
      <c r="BH3" s="11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73</v>
      </c>
      <c r="BO3" s="8" t="s">
        <v>74</v>
      </c>
      <c r="BP3" s="10" t="s">
        <v>75</v>
      </c>
      <c r="BQ3" s="10" t="s">
        <v>76</v>
      </c>
      <c r="BR3" s="10" t="s">
        <v>77</v>
      </c>
      <c r="BS3" s="12" t="s">
        <v>78</v>
      </c>
      <c r="BT3" s="12" t="s">
        <v>79</v>
      </c>
      <c r="BU3" s="12" t="s">
        <v>80</v>
      </c>
      <c r="BV3" s="12" t="s">
        <v>81</v>
      </c>
      <c r="BW3" s="12" t="s">
        <v>82</v>
      </c>
      <c r="BX3" s="12" t="s">
        <v>83</v>
      </c>
      <c r="BY3" s="13" t="s">
        <v>84</v>
      </c>
      <c r="BZ3" s="12" t="s">
        <v>85</v>
      </c>
      <c r="CA3" s="12" t="s">
        <v>86</v>
      </c>
      <c r="CB3" s="12" t="s">
        <v>87</v>
      </c>
      <c r="CC3" s="12" t="s">
        <v>88</v>
      </c>
      <c r="CD3" s="12" t="s">
        <v>89</v>
      </c>
      <c r="CE3" s="12" t="s">
        <v>90</v>
      </c>
      <c r="CF3" s="13" t="s">
        <v>91</v>
      </c>
      <c r="CG3" s="14" t="s">
        <v>92</v>
      </c>
      <c r="CH3" s="12" t="s">
        <v>93</v>
      </c>
      <c r="CI3" s="12" t="s">
        <v>94</v>
      </c>
      <c r="CJ3" s="12" t="s">
        <v>95</v>
      </c>
      <c r="CK3" s="12" t="s">
        <v>96</v>
      </c>
    </row>
    <row r="4" spans="1:89">
      <c r="A4" s="265">
        <v>1</v>
      </c>
      <c r="B4" s="33">
        <v>0</v>
      </c>
      <c r="C4" s="268">
        <v>45992</v>
      </c>
      <c r="D4" s="274" t="s">
        <v>97</v>
      </c>
      <c r="E4" s="15" t="s">
        <v>98</v>
      </c>
      <c r="F4" s="276" t="s">
        <v>141</v>
      </c>
      <c r="G4" s="276" t="s">
        <v>145</v>
      </c>
      <c r="H4" s="278" t="s">
        <v>412</v>
      </c>
      <c r="I4" s="278" t="s">
        <v>102</v>
      </c>
      <c r="J4" s="280">
        <v>45992</v>
      </c>
      <c r="K4" s="280">
        <v>45992.842918703704</v>
      </c>
      <c r="L4" s="280">
        <v>45994.301252037039</v>
      </c>
      <c r="M4" s="35"/>
      <c r="N4" s="35">
        <v>5000</v>
      </c>
      <c r="O4" s="35"/>
      <c r="P4" s="35"/>
      <c r="Q4" s="35">
        <v>35000</v>
      </c>
      <c r="R4" s="35"/>
      <c r="S4" s="35"/>
      <c r="T4" s="35"/>
      <c r="U4" s="35"/>
      <c r="V4" s="35"/>
      <c r="W4" s="35"/>
      <c r="X4" s="35">
        <v>7500</v>
      </c>
      <c r="Y4" s="120"/>
      <c r="Z4" s="22">
        <v>0</v>
      </c>
      <c r="AA4" s="35">
        <v>0</v>
      </c>
      <c r="AB4" s="120"/>
      <c r="AC4" s="35"/>
      <c r="AD4" s="23">
        <v>0</v>
      </c>
      <c r="AE4" s="23">
        <v>0</v>
      </c>
      <c r="AF4" s="35">
        <v>7500</v>
      </c>
      <c r="AG4" s="23">
        <v>0</v>
      </c>
      <c r="AH4" s="35"/>
      <c r="AI4" s="35"/>
      <c r="AJ4" s="23">
        <v>0</v>
      </c>
      <c r="AK4" s="23">
        <v>0</v>
      </c>
      <c r="AL4" s="23">
        <v>0</v>
      </c>
      <c r="AM4" s="120"/>
      <c r="AN4" s="120"/>
      <c r="AO4" s="120"/>
      <c r="AP4" s="120"/>
      <c r="AQ4" s="120"/>
      <c r="AR4" s="23">
        <v>0</v>
      </c>
      <c r="AS4" s="35"/>
      <c r="AT4" s="35"/>
      <c r="AU4" s="23">
        <v>0</v>
      </c>
      <c r="AV4" s="21">
        <v>0</v>
      </c>
      <c r="AW4" s="35"/>
      <c r="AX4" s="35"/>
      <c r="AY4" s="23">
        <v>0</v>
      </c>
      <c r="AZ4" s="23">
        <v>0</v>
      </c>
      <c r="BA4" s="23">
        <v>0</v>
      </c>
      <c r="BB4" s="120"/>
      <c r="BC4" s="21">
        <v>0</v>
      </c>
      <c r="BD4" s="282">
        <v>70000</v>
      </c>
      <c r="BE4" s="284">
        <v>45992</v>
      </c>
      <c r="BF4" s="284">
        <v>46001</v>
      </c>
      <c r="BG4" s="286">
        <v>0.71</v>
      </c>
      <c r="BH4" s="270" t="s">
        <v>115</v>
      </c>
      <c r="BI4" s="271"/>
      <c r="BJ4" s="288">
        <v>20.17613429503194</v>
      </c>
      <c r="BK4" s="288">
        <v>12.47300056111612</v>
      </c>
      <c r="BL4" s="288">
        <v>5.9613687535634403</v>
      </c>
      <c r="BM4" s="288">
        <v>5.3883621612306234</v>
      </c>
      <c r="BN4" s="288">
        <v>1.817438773819299</v>
      </c>
      <c r="BO4" s="288">
        <v>1.698565082420304</v>
      </c>
      <c r="BP4" s="289">
        <v>5978.441771576161</v>
      </c>
      <c r="BQ4" s="289">
        <v>5468.2427168730537</v>
      </c>
      <c r="BR4" s="289">
        <v>5150.7701469819694</v>
      </c>
      <c r="BS4" s="113">
        <v>-5.8000000000000003E-2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26">
        <v>-0.1226201097928093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20">
        <v>2000</v>
      </c>
      <c r="CH4" s="32">
        <v>0</v>
      </c>
      <c r="CI4" s="32">
        <v>0</v>
      </c>
      <c r="CJ4" s="32">
        <v>0</v>
      </c>
      <c r="CK4" s="32">
        <v>0</v>
      </c>
    </row>
    <row r="5" spans="1:89">
      <c r="A5" s="265">
        <v>2</v>
      </c>
      <c r="B5" s="33">
        <v>0</v>
      </c>
      <c r="C5" s="267">
        <v>45992</v>
      </c>
      <c r="D5" s="274" t="s">
        <v>97</v>
      </c>
      <c r="E5" s="15" t="s">
        <v>98</v>
      </c>
      <c r="F5" s="276" t="s">
        <v>141</v>
      </c>
      <c r="G5" s="276" t="s">
        <v>128</v>
      </c>
      <c r="H5" s="278" t="s">
        <v>413</v>
      </c>
      <c r="I5" s="278" t="s">
        <v>102</v>
      </c>
      <c r="J5" s="280">
        <v>45993</v>
      </c>
      <c r="K5" s="280">
        <v>45994.447085370368</v>
      </c>
      <c r="L5" s="280">
        <v>45996.391529814813</v>
      </c>
      <c r="M5" s="35"/>
      <c r="N5" s="35"/>
      <c r="O5" s="35"/>
      <c r="P5" s="35"/>
      <c r="Q5" s="35">
        <v>7500</v>
      </c>
      <c r="R5" s="35"/>
      <c r="S5" s="35"/>
      <c r="T5" s="35"/>
      <c r="U5" s="35">
        <v>27500</v>
      </c>
      <c r="V5" s="35">
        <v>17500</v>
      </c>
      <c r="W5" s="35"/>
      <c r="X5" s="35">
        <v>15000</v>
      </c>
      <c r="Y5" s="120"/>
      <c r="Z5" s="22">
        <v>0</v>
      </c>
      <c r="AA5" s="35">
        <v>0</v>
      </c>
      <c r="AB5" s="120"/>
      <c r="AC5" s="35">
        <v>7500</v>
      </c>
      <c r="AD5" s="23">
        <v>0</v>
      </c>
      <c r="AE5" s="23">
        <v>0</v>
      </c>
      <c r="AF5" s="35"/>
      <c r="AG5" s="23">
        <v>0</v>
      </c>
      <c r="AH5" s="35"/>
      <c r="AI5" s="35"/>
      <c r="AJ5" s="23">
        <v>0</v>
      </c>
      <c r="AK5" s="23">
        <v>0</v>
      </c>
      <c r="AL5" s="23">
        <v>0</v>
      </c>
      <c r="AM5" s="120"/>
      <c r="AN5" s="120"/>
      <c r="AO5" s="120"/>
      <c r="AP5" s="120"/>
      <c r="AQ5" s="120"/>
      <c r="AR5" s="23">
        <v>0</v>
      </c>
      <c r="AS5" s="35"/>
      <c r="AT5" s="35"/>
      <c r="AU5" s="23">
        <v>0</v>
      </c>
      <c r="AV5" s="21">
        <v>0</v>
      </c>
      <c r="AW5" s="35"/>
      <c r="AX5" s="35"/>
      <c r="AY5" s="23">
        <v>0</v>
      </c>
      <c r="AZ5" s="23">
        <v>0</v>
      </c>
      <c r="BA5" s="23">
        <v>0</v>
      </c>
      <c r="BB5" s="120"/>
      <c r="BC5" s="34">
        <v>0</v>
      </c>
      <c r="BD5" s="282">
        <v>70000</v>
      </c>
      <c r="BE5" s="284">
        <v>45993</v>
      </c>
      <c r="BF5" s="284">
        <v>46002</v>
      </c>
      <c r="BG5" s="285">
        <v>0.5714285714285714</v>
      </c>
      <c r="BH5" s="270" t="s">
        <v>115</v>
      </c>
      <c r="BI5" s="271"/>
      <c r="BJ5" s="288">
        <v>24.60802175808691</v>
      </c>
      <c r="BK5" s="288">
        <v>13.774244544072751</v>
      </c>
      <c r="BL5" s="288">
        <v>7.3848004912909539</v>
      </c>
      <c r="BM5" s="288">
        <v>6.5358137357032691</v>
      </c>
      <c r="BN5" s="288">
        <v>1.4665815596175891</v>
      </c>
      <c r="BO5" s="288">
        <v>1.3742297424742731</v>
      </c>
      <c r="BP5" s="289">
        <v>5705.8137846986911</v>
      </c>
      <c r="BQ5" s="289">
        <v>5013.7135282957443</v>
      </c>
      <c r="BR5" s="289">
        <v>4686.6897162951354</v>
      </c>
      <c r="BS5" s="113">
        <v>-0.26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26">
        <v>-0.37992141384864231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20">
        <v>2000.0000000012631</v>
      </c>
      <c r="CH5" s="31">
        <v>0</v>
      </c>
      <c r="CI5" s="31">
        <v>0</v>
      </c>
      <c r="CJ5" s="31">
        <v>0</v>
      </c>
      <c r="CK5" s="31">
        <v>0</v>
      </c>
    </row>
    <row r="6" spans="1:89">
      <c r="A6" s="265">
        <v>3</v>
      </c>
      <c r="B6" s="33">
        <v>0</v>
      </c>
      <c r="C6" s="268">
        <v>45992</v>
      </c>
      <c r="D6" s="274" t="s">
        <v>97</v>
      </c>
      <c r="E6" s="15" t="s">
        <v>98</v>
      </c>
      <c r="F6" s="276" t="s">
        <v>141</v>
      </c>
      <c r="G6" s="276" t="s">
        <v>110</v>
      </c>
      <c r="H6" s="278" t="s">
        <v>276</v>
      </c>
      <c r="I6" s="278" t="s">
        <v>102</v>
      </c>
      <c r="J6" s="280">
        <v>45995</v>
      </c>
      <c r="K6" s="280">
        <v>45996.537363148149</v>
      </c>
      <c r="L6" s="280">
        <v>45998.099863148149</v>
      </c>
      <c r="M6" s="35"/>
      <c r="N6" s="35">
        <v>15000</v>
      </c>
      <c r="O6" s="35"/>
      <c r="P6" s="35"/>
      <c r="Q6" s="35">
        <v>34700</v>
      </c>
      <c r="R6" s="35"/>
      <c r="S6" s="35"/>
      <c r="T6" s="35"/>
      <c r="U6" s="35"/>
      <c r="V6" s="35"/>
      <c r="W6" s="35"/>
      <c r="X6" s="35">
        <v>7500</v>
      </c>
      <c r="Y6" s="120"/>
      <c r="Z6" s="22">
        <v>0</v>
      </c>
      <c r="AA6" s="35">
        <v>0</v>
      </c>
      <c r="AB6" s="120"/>
      <c r="AC6" s="35"/>
      <c r="AD6" s="23">
        <v>0</v>
      </c>
      <c r="AE6" s="23">
        <v>0</v>
      </c>
      <c r="AF6" s="35">
        <v>7500</v>
      </c>
      <c r="AG6" s="23">
        <v>0</v>
      </c>
      <c r="AH6" s="35"/>
      <c r="AI6" s="35">
        <v>5300</v>
      </c>
      <c r="AJ6" s="23">
        <v>0</v>
      </c>
      <c r="AK6" s="23">
        <v>0</v>
      </c>
      <c r="AL6" s="23">
        <v>0</v>
      </c>
      <c r="AM6" s="120"/>
      <c r="AN6" s="120"/>
      <c r="AO6" s="120"/>
      <c r="AP6" s="120"/>
      <c r="AQ6" s="120"/>
      <c r="AR6" s="23">
        <v>0</v>
      </c>
      <c r="AS6" s="35"/>
      <c r="AT6" s="35"/>
      <c r="AU6" s="23">
        <v>0</v>
      </c>
      <c r="AV6" s="21">
        <v>0</v>
      </c>
      <c r="AW6" s="35"/>
      <c r="AX6" s="35"/>
      <c r="AY6" s="23">
        <v>0</v>
      </c>
      <c r="AZ6" s="23">
        <v>0</v>
      </c>
      <c r="BA6" s="23">
        <v>0</v>
      </c>
      <c r="BB6" s="120"/>
      <c r="BC6" s="21">
        <v>0</v>
      </c>
      <c r="BD6" s="282">
        <v>75000</v>
      </c>
      <c r="BE6" s="284">
        <v>45995</v>
      </c>
      <c r="BF6" s="284">
        <v>46004</v>
      </c>
      <c r="BG6" s="286">
        <v>0.6333333333333333</v>
      </c>
      <c r="BH6" s="270" t="s">
        <v>115</v>
      </c>
      <c r="BI6" s="271"/>
      <c r="BJ6" s="288">
        <v>21.577402088436369</v>
      </c>
      <c r="BK6" s="288">
        <v>12.06538710852055</v>
      </c>
      <c r="BL6" s="288">
        <v>6.1954097514207431</v>
      </c>
      <c r="BM6" s="288">
        <v>5.5939900523883992</v>
      </c>
      <c r="BN6" s="288">
        <v>1.6652018754930751</v>
      </c>
      <c r="BO6" s="288">
        <v>1.556022457626316</v>
      </c>
      <c r="BP6" s="289">
        <v>6046.477100785225</v>
      </c>
      <c r="BQ6" s="289">
        <v>5408.2632649465031</v>
      </c>
      <c r="BR6" s="289">
        <v>5101.5596507979553</v>
      </c>
      <c r="BS6" s="113">
        <v>-0.96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26">
        <v>-0.37908246721989208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20">
        <v>1999.999999997018</v>
      </c>
      <c r="CH6" s="32">
        <v>0</v>
      </c>
      <c r="CI6" s="32">
        <v>0</v>
      </c>
      <c r="CJ6" s="32">
        <v>0</v>
      </c>
      <c r="CK6" s="32">
        <v>0</v>
      </c>
    </row>
    <row r="7" spans="1:89">
      <c r="A7" s="265">
        <v>4</v>
      </c>
      <c r="B7" s="33">
        <v>0</v>
      </c>
      <c r="C7" s="268">
        <v>45992</v>
      </c>
      <c r="D7" s="274" t="s">
        <v>97</v>
      </c>
      <c r="E7" s="15" t="s">
        <v>98</v>
      </c>
      <c r="F7" s="276" t="s">
        <v>141</v>
      </c>
      <c r="G7" s="276" t="s">
        <v>414</v>
      </c>
      <c r="H7" s="278" t="s">
        <v>368</v>
      </c>
      <c r="I7" s="278" t="s">
        <v>102</v>
      </c>
      <c r="J7" s="280">
        <v>45997</v>
      </c>
      <c r="K7" s="280">
        <v>45998.245696481477</v>
      </c>
      <c r="L7" s="280">
        <v>45999.662363148149</v>
      </c>
      <c r="M7" s="35">
        <v>5800</v>
      </c>
      <c r="N7" s="35"/>
      <c r="O7" s="35"/>
      <c r="P7" s="35"/>
      <c r="Q7" s="35">
        <v>0</v>
      </c>
      <c r="R7" s="35">
        <v>54200</v>
      </c>
      <c r="S7" s="35"/>
      <c r="T7" s="35"/>
      <c r="U7" s="35"/>
      <c r="V7" s="35"/>
      <c r="W7" s="35"/>
      <c r="X7" s="35"/>
      <c r="Y7" s="120"/>
      <c r="Z7" s="22">
        <v>0</v>
      </c>
      <c r="AA7" s="35">
        <v>0</v>
      </c>
      <c r="AB7" s="120"/>
      <c r="AC7" s="35"/>
      <c r="AD7" s="23">
        <v>0</v>
      </c>
      <c r="AE7" s="23">
        <v>0</v>
      </c>
      <c r="AF7" s="35"/>
      <c r="AG7" s="23">
        <v>0</v>
      </c>
      <c r="AH7" s="35"/>
      <c r="AI7" s="35"/>
      <c r="AJ7" s="23">
        <v>0</v>
      </c>
      <c r="AK7" s="23">
        <v>0</v>
      </c>
      <c r="AL7" s="23">
        <v>0</v>
      </c>
      <c r="AM7" s="120"/>
      <c r="AN7" s="120"/>
      <c r="AO7" s="120"/>
      <c r="AP7" s="120"/>
      <c r="AQ7" s="120"/>
      <c r="AR7" s="23">
        <v>0</v>
      </c>
      <c r="AS7" s="35"/>
      <c r="AT7" s="35"/>
      <c r="AU7" s="23">
        <v>0</v>
      </c>
      <c r="AV7" s="21">
        <v>0</v>
      </c>
      <c r="AW7" s="35"/>
      <c r="AX7" s="35"/>
      <c r="AY7" s="23">
        <v>0</v>
      </c>
      <c r="AZ7" s="23">
        <v>0</v>
      </c>
      <c r="BA7" s="23">
        <v>0</v>
      </c>
      <c r="BB7" s="120"/>
      <c r="BC7" s="21">
        <v>0</v>
      </c>
      <c r="BD7" s="282">
        <v>68000</v>
      </c>
      <c r="BE7" s="284">
        <v>45997</v>
      </c>
      <c r="BF7" s="284">
        <v>46006</v>
      </c>
      <c r="BG7" s="285">
        <v>0.55882352941176472</v>
      </c>
      <c r="BH7" s="270" t="s">
        <v>115</v>
      </c>
      <c r="BI7" s="271"/>
      <c r="BJ7" s="288">
        <v>22.61130884360615</v>
      </c>
      <c r="BK7" s="288">
        <v>14.28709431669861</v>
      </c>
      <c r="BL7" s="288">
        <v>6.7766978402110336</v>
      </c>
      <c r="BM7" s="288">
        <v>6.0530656159934928</v>
      </c>
      <c r="BN7" s="288">
        <v>1.4100234653416821</v>
      </c>
      <c r="BO7" s="288">
        <v>1.3244437468852881</v>
      </c>
      <c r="BP7" s="289">
        <v>5760.3240064685651</v>
      </c>
      <c r="BQ7" s="289">
        <v>5227.9487601542296</v>
      </c>
      <c r="BR7" s="289">
        <v>4907.4731900373827</v>
      </c>
      <c r="BS7" s="113">
        <v>-0.90332607201747395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26">
        <v>-1.98614571259773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20">
        <v>1800.000000001233</v>
      </c>
      <c r="CH7" s="31">
        <v>0</v>
      </c>
      <c r="CI7" s="31">
        <v>0</v>
      </c>
      <c r="CJ7" s="31">
        <v>0</v>
      </c>
      <c r="CK7" s="31">
        <v>0</v>
      </c>
    </row>
    <row r="8" spans="1:89">
      <c r="A8" s="265">
        <v>5</v>
      </c>
      <c r="B8" s="33">
        <v>0</v>
      </c>
      <c r="C8" s="267">
        <v>45992</v>
      </c>
      <c r="D8" s="274" t="s">
        <v>97</v>
      </c>
      <c r="E8" s="15" t="s">
        <v>98</v>
      </c>
      <c r="F8" s="276" t="s">
        <v>141</v>
      </c>
      <c r="G8" s="276" t="s">
        <v>415</v>
      </c>
      <c r="H8" s="278" t="s">
        <v>328</v>
      </c>
      <c r="I8" s="278" t="s">
        <v>102</v>
      </c>
      <c r="J8" s="280">
        <v>45998</v>
      </c>
      <c r="K8" s="280">
        <v>45999.808196481477</v>
      </c>
      <c r="L8" s="280">
        <v>46000.954029814813</v>
      </c>
      <c r="M8" s="35">
        <v>16000</v>
      </c>
      <c r="N8" s="35"/>
      <c r="O8" s="35"/>
      <c r="P8" s="35">
        <v>5900</v>
      </c>
      <c r="Q8" s="35">
        <v>20300</v>
      </c>
      <c r="R8" s="35"/>
      <c r="S8" s="35"/>
      <c r="T8" s="35"/>
      <c r="U8" s="35">
        <v>15000</v>
      </c>
      <c r="V8" s="35"/>
      <c r="W8" s="35"/>
      <c r="X8" s="35"/>
      <c r="Y8" s="120">
        <v>7500</v>
      </c>
      <c r="Z8" s="22">
        <v>0</v>
      </c>
      <c r="AA8" s="35">
        <v>7500</v>
      </c>
      <c r="AB8" s="120"/>
      <c r="AC8" s="35"/>
      <c r="AD8" s="23">
        <v>0</v>
      </c>
      <c r="AE8" s="23">
        <v>0</v>
      </c>
      <c r="AF8" s="35"/>
      <c r="AG8" s="23">
        <v>0</v>
      </c>
      <c r="AH8" s="35"/>
      <c r="AI8" s="35">
        <v>5300</v>
      </c>
      <c r="AJ8" s="23">
        <v>0</v>
      </c>
      <c r="AK8" s="23">
        <v>0</v>
      </c>
      <c r="AL8" s="23">
        <v>0</v>
      </c>
      <c r="AM8" s="120"/>
      <c r="AN8" s="120"/>
      <c r="AO8" s="120"/>
      <c r="AP8" s="120"/>
      <c r="AQ8" s="120"/>
      <c r="AR8" s="23">
        <v>0</v>
      </c>
      <c r="AS8" s="35"/>
      <c r="AT8" s="35"/>
      <c r="AU8" s="23">
        <v>0</v>
      </c>
      <c r="AV8" s="21">
        <v>0</v>
      </c>
      <c r="AW8" s="35"/>
      <c r="AX8" s="35"/>
      <c r="AY8" s="23">
        <v>0</v>
      </c>
      <c r="AZ8" s="23">
        <v>0</v>
      </c>
      <c r="BA8" s="23">
        <v>0</v>
      </c>
      <c r="BB8" s="120"/>
      <c r="BC8" s="21">
        <v>0</v>
      </c>
      <c r="BD8" s="282">
        <v>55000</v>
      </c>
      <c r="BE8" s="284">
        <v>45998</v>
      </c>
      <c r="BF8" s="284">
        <v>46007</v>
      </c>
      <c r="BG8" s="286">
        <v>1</v>
      </c>
      <c r="BH8" s="270" t="s">
        <v>115</v>
      </c>
      <c r="BI8" s="271"/>
      <c r="BJ8" s="288">
        <v>15.588573660359121</v>
      </c>
      <c r="BK8" s="288">
        <v>10.588573660359121</v>
      </c>
      <c r="BL8" s="288">
        <v>5.6717216192987463</v>
      </c>
      <c r="BM8" s="288">
        <v>5.3545517758296368</v>
      </c>
      <c r="BN8" s="288">
        <v>2.402073873475806</v>
      </c>
      <c r="BO8" s="288">
        <v>2.2677468656305662</v>
      </c>
      <c r="BP8" s="289">
        <v>6263.8937799025944</v>
      </c>
      <c r="BQ8" s="289">
        <v>5913.6089205542839</v>
      </c>
      <c r="BR8" s="289">
        <v>5610.8796848932634</v>
      </c>
      <c r="BS8" s="113">
        <v>0.25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26">
        <v>-0.1219396100789059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20">
        <v>1799.999999997905</v>
      </c>
      <c r="CH8" s="32">
        <v>0</v>
      </c>
      <c r="CI8" s="32">
        <v>0</v>
      </c>
      <c r="CJ8" s="32">
        <v>0</v>
      </c>
      <c r="CK8" s="32">
        <v>0</v>
      </c>
    </row>
    <row r="9" spans="1:89">
      <c r="A9" s="266">
        <v>6</v>
      </c>
      <c r="B9" s="33">
        <v>0</v>
      </c>
      <c r="C9" s="268">
        <v>45992</v>
      </c>
      <c r="D9" s="275" t="s">
        <v>148</v>
      </c>
      <c r="E9" s="15" t="s">
        <v>98</v>
      </c>
      <c r="F9" s="276" t="s">
        <v>141</v>
      </c>
      <c r="G9" s="277" t="s">
        <v>135</v>
      </c>
      <c r="H9" s="279" t="s">
        <v>370</v>
      </c>
      <c r="I9" s="279" t="s">
        <v>102</v>
      </c>
      <c r="J9" s="280">
        <v>46000</v>
      </c>
      <c r="K9" s="281">
        <v>46001.349863148149</v>
      </c>
      <c r="L9" s="281">
        <v>46002.245696481477</v>
      </c>
      <c r="M9" s="35"/>
      <c r="N9" s="35"/>
      <c r="O9" s="35"/>
      <c r="P9" s="35"/>
      <c r="Q9" s="35">
        <v>65000</v>
      </c>
      <c r="R9" s="35"/>
      <c r="S9" s="35"/>
      <c r="T9" s="35"/>
      <c r="U9" s="35"/>
      <c r="V9" s="35"/>
      <c r="W9" s="35"/>
      <c r="X9" s="35"/>
      <c r="Y9" s="120"/>
      <c r="Z9" s="22">
        <v>0</v>
      </c>
      <c r="AA9" s="35">
        <v>0</v>
      </c>
      <c r="AB9" s="120"/>
      <c r="AC9" s="35"/>
      <c r="AD9" s="23">
        <v>0</v>
      </c>
      <c r="AE9" s="23">
        <v>0</v>
      </c>
      <c r="AF9" s="35"/>
      <c r="AG9" s="23">
        <v>0</v>
      </c>
      <c r="AH9" s="35"/>
      <c r="AI9" s="35"/>
      <c r="AJ9" s="23">
        <v>0</v>
      </c>
      <c r="AK9" s="23">
        <v>0</v>
      </c>
      <c r="AL9" s="23">
        <v>0</v>
      </c>
      <c r="AM9" s="120"/>
      <c r="AN9" s="120"/>
      <c r="AO9" s="120"/>
      <c r="AP9" s="120"/>
      <c r="AQ9" s="120"/>
      <c r="AR9" s="23">
        <v>0</v>
      </c>
      <c r="AS9" s="35">
        <v>5000</v>
      </c>
      <c r="AT9" s="35"/>
      <c r="AU9" s="23">
        <v>0</v>
      </c>
      <c r="AV9" s="21">
        <v>0</v>
      </c>
      <c r="AW9" s="35"/>
      <c r="AX9" s="35"/>
      <c r="AY9" s="23">
        <v>0</v>
      </c>
      <c r="AZ9" s="23">
        <v>0</v>
      </c>
      <c r="BA9" s="23">
        <v>0</v>
      </c>
      <c r="BB9" s="120"/>
      <c r="BC9" s="21">
        <v>0</v>
      </c>
      <c r="BD9" s="282">
        <v>43000</v>
      </c>
      <c r="BE9" s="284">
        <v>46000</v>
      </c>
      <c r="BF9" s="284">
        <v>46009</v>
      </c>
      <c r="BG9" s="286">
        <v>0.82093023255813957</v>
      </c>
      <c r="BH9" s="270" t="s">
        <v>115</v>
      </c>
      <c r="BI9" s="271"/>
      <c r="BJ9" s="288">
        <v>12.273508129139859</v>
      </c>
      <c r="BK9" s="288">
        <v>6.829686525434612</v>
      </c>
      <c r="BL9" s="288">
        <v>5.2798137568081911</v>
      </c>
      <c r="BM9" s="288">
        <v>4.9658545498783617</v>
      </c>
      <c r="BN9" s="288">
        <v>0.79663541491959089</v>
      </c>
      <c r="BO9" s="288">
        <v>0.74998984337429464</v>
      </c>
      <c r="BP9" s="289">
        <v>6858.5631309872888</v>
      </c>
      <c r="BQ9" s="289">
        <v>6458.2630345728739</v>
      </c>
      <c r="BR9" s="289">
        <v>6163.738376460371</v>
      </c>
      <c r="BS9" s="113">
        <v>0.73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26">
        <v>-0.27729675293729611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20">
        <v>1500.0000000006719</v>
      </c>
      <c r="CH9" s="31">
        <v>0</v>
      </c>
      <c r="CI9" s="31">
        <v>0</v>
      </c>
      <c r="CJ9" s="31">
        <v>0</v>
      </c>
      <c r="CK9" s="31">
        <v>0</v>
      </c>
    </row>
    <row r="10" spans="1:89">
      <c r="A10" s="265">
        <v>7</v>
      </c>
      <c r="B10" s="33">
        <v>0</v>
      </c>
      <c r="C10" s="267">
        <v>45992</v>
      </c>
      <c r="D10" s="274" t="s">
        <v>97</v>
      </c>
      <c r="E10" s="15" t="s">
        <v>98</v>
      </c>
      <c r="F10" s="276" t="s">
        <v>141</v>
      </c>
      <c r="G10" s="276" t="s">
        <v>128</v>
      </c>
      <c r="H10" s="278" t="s">
        <v>416</v>
      </c>
      <c r="I10" s="278" t="s">
        <v>102</v>
      </c>
      <c r="J10" s="280">
        <v>46001</v>
      </c>
      <c r="K10" s="280">
        <v>46002.391529814813</v>
      </c>
      <c r="L10" s="280">
        <v>46004.335974259258</v>
      </c>
      <c r="M10" s="35"/>
      <c r="N10" s="35"/>
      <c r="O10" s="35"/>
      <c r="P10" s="35"/>
      <c r="Q10" s="35">
        <v>30000</v>
      </c>
      <c r="R10" s="35"/>
      <c r="S10" s="35"/>
      <c r="T10" s="35"/>
      <c r="U10" s="35"/>
      <c r="V10" s="35"/>
      <c r="W10" s="35"/>
      <c r="X10" s="35"/>
      <c r="Y10" s="120"/>
      <c r="Z10" s="22">
        <v>0</v>
      </c>
      <c r="AA10" s="35">
        <v>0</v>
      </c>
      <c r="AB10" s="120">
        <v>15000</v>
      </c>
      <c r="AC10" s="35"/>
      <c r="AD10" s="23">
        <v>0</v>
      </c>
      <c r="AE10" s="23">
        <v>0</v>
      </c>
      <c r="AF10" s="35"/>
      <c r="AG10" s="23">
        <v>0</v>
      </c>
      <c r="AH10" s="35"/>
      <c r="AI10" s="35"/>
      <c r="AJ10" s="23">
        <v>0</v>
      </c>
      <c r="AK10" s="23">
        <v>0</v>
      </c>
      <c r="AL10" s="23">
        <v>0</v>
      </c>
      <c r="AM10" s="120"/>
      <c r="AN10" s="120"/>
      <c r="AO10" s="120"/>
      <c r="AP10" s="120">
        <v>5000</v>
      </c>
      <c r="AQ10" s="120"/>
      <c r="AR10" s="23">
        <v>0</v>
      </c>
      <c r="AS10" s="35">
        <v>5000</v>
      </c>
      <c r="AT10" s="35"/>
      <c r="AU10" s="23">
        <v>0</v>
      </c>
      <c r="AV10" s="21">
        <v>0</v>
      </c>
      <c r="AW10" s="35"/>
      <c r="AX10" s="35"/>
      <c r="AY10" s="23">
        <v>0</v>
      </c>
      <c r="AZ10" s="23">
        <v>0</v>
      </c>
      <c r="BA10" s="23">
        <v>0</v>
      </c>
      <c r="BB10" s="120"/>
      <c r="BC10" s="21">
        <v>0</v>
      </c>
      <c r="BD10" s="282">
        <v>70000</v>
      </c>
      <c r="BE10" s="284">
        <v>46001</v>
      </c>
      <c r="BF10" s="284">
        <v>46010</v>
      </c>
      <c r="BG10" s="285">
        <v>0.5714285714285714</v>
      </c>
      <c r="BH10" s="270" t="s">
        <v>115</v>
      </c>
      <c r="BI10" s="271"/>
      <c r="BJ10" s="288">
        <v>25.831394022589709</v>
      </c>
      <c r="BK10" s="288">
        <v>13.509733785801229</v>
      </c>
      <c r="BL10" s="288">
        <v>8.4143889007309411</v>
      </c>
      <c r="BM10" s="288">
        <v>7.3454668726405563</v>
      </c>
      <c r="BN10" s="288">
        <v>1.489586416453017</v>
      </c>
      <c r="BO10" s="288">
        <v>1.391719959711553</v>
      </c>
      <c r="BP10" s="289">
        <v>5688.6360812696557</v>
      </c>
      <c r="BQ10" s="289">
        <v>4907.0480321271307</v>
      </c>
      <c r="BR10" s="289">
        <v>4576.6382100845894</v>
      </c>
      <c r="BS10" s="113">
        <v>0.51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26">
        <v>-0.81479675293812759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20">
        <v>1800</v>
      </c>
      <c r="CH10" s="32">
        <v>0</v>
      </c>
      <c r="CI10" s="32">
        <v>0</v>
      </c>
      <c r="CJ10" s="32">
        <v>0</v>
      </c>
      <c r="CK10" s="32">
        <v>0</v>
      </c>
    </row>
    <row r="11" spans="1:89">
      <c r="A11" s="265">
        <v>8</v>
      </c>
      <c r="B11" s="33">
        <v>0</v>
      </c>
      <c r="C11" s="268">
        <v>45992</v>
      </c>
      <c r="D11" s="274" t="s">
        <v>97</v>
      </c>
      <c r="E11" s="15" t="s">
        <v>98</v>
      </c>
      <c r="F11" s="276" t="s">
        <v>141</v>
      </c>
      <c r="G11" s="276" t="s">
        <v>117</v>
      </c>
      <c r="H11" s="278" t="s">
        <v>369</v>
      </c>
      <c r="I11" s="278" t="s">
        <v>102</v>
      </c>
      <c r="J11" s="280">
        <v>46003</v>
      </c>
      <c r="K11" s="280">
        <v>46004.481807592587</v>
      </c>
      <c r="L11" s="280">
        <v>46005.940140925923</v>
      </c>
      <c r="M11" s="35">
        <v>9000</v>
      </c>
      <c r="N11" s="35">
        <v>7000</v>
      </c>
      <c r="O11" s="35"/>
      <c r="P11" s="35"/>
      <c r="Q11" s="35">
        <v>30700</v>
      </c>
      <c r="R11" s="35"/>
      <c r="S11" s="35"/>
      <c r="T11" s="35"/>
      <c r="U11" s="35">
        <v>7500</v>
      </c>
      <c r="V11" s="35"/>
      <c r="W11" s="35"/>
      <c r="X11" s="35"/>
      <c r="Y11" s="120"/>
      <c r="Z11" s="22">
        <v>0</v>
      </c>
      <c r="AA11" s="35">
        <v>0</v>
      </c>
      <c r="AB11" s="120"/>
      <c r="AC11" s="35"/>
      <c r="AD11" s="23">
        <v>0</v>
      </c>
      <c r="AE11" s="23">
        <v>0</v>
      </c>
      <c r="AF11" s="35"/>
      <c r="AG11" s="23">
        <v>0</v>
      </c>
      <c r="AH11" s="35">
        <v>5300</v>
      </c>
      <c r="AI11" s="35"/>
      <c r="AJ11" s="23">
        <v>0</v>
      </c>
      <c r="AK11" s="23">
        <v>0</v>
      </c>
      <c r="AL11" s="23">
        <v>0</v>
      </c>
      <c r="AM11" s="120">
        <v>7500</v>
      </c>
      <c r="AN11" s="120"/>
      <c r="AO11" s="120"/>
      <c r="AP11" s="120"/>
      <c r="AQ11" s="120"/>
      <c r="AR11" s="23">
        <v>0</v>
      </c>
      <c r="AS11" s="35"/>
      <c r="AT11" s="35"/>
      <c r="AU11" s="23">
        <v>0</v>
      </c>
      <c r="AV11" s="21">
        <v>0</v>
      </c>
      <c r="AW11" s="35"/>
      <c r="AX11" s="35"/>
      <c r="AY11" s="23">
        <v>0</v>
      </c>
      <c r="AZ11" s="23">
        <v>0</v>
      </c>
      <c r="BA11" s="23">
        <v>0</v>
      </c>
      <c r="BB11" s="120"/>
      <c r="BC11" s="21">
        <v>0</v>
      </c>
      <c r="BD11" s="282">
        <v>70000</v>
      </c>
      <c r="BE11" s="284">
        <v>46003</v>
      </c>
      <c r="BF11" s="284">
        <v>46012</v>
      </c>
      <c r="BG11" s="286">
        <v>0.71</v>
      </c>
      <c r="BH11" s="270" t="s">
        <v>115</v>
      </c>
      <c r="BI11" s="271"/>
      <c r="BJ11" s="288">
        <v>20.01888671000475</v>
      </c>
      <c r="BK11" s="288">
        <v>12.70230938155283</v>
      </c>
      <c r="BL11" s="288">
        <v>5.9369115440555138</v>
      </c>
      <c r="BM11" s="288">
        <v>5.3960317461575382</v>
      </c>
      <c r="BN11" s="288">
        <v>1.744552806881402</v>
      </c>
      <c r="BO11" s="288">
        <v>1.633121598800618</v>
      </c>
      <c r="BP11" s="289">
        <v>6015.2977980238211</v>
      </c>
      <c r="BQ11" s="289">
        <v>5522.4967169390256</v>
      </c>
      <c r="BR11" s="289">
        <v>5224.5389798232327</v>
      </c>
      <c r="BS11" s="113">
        <v>0.86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26">
        <v>-0.74829511501128709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20">
        <v>1800</v>
      </c>
      <c r="CH11" s="31">
        <v>0</v>
      </c>
      <c r="CI11" s="31">
        <v>0</v>
      </c>
      <c r="CJ11" s="31">
        <v>0</v>
      </c>
      <c r="CK11" s="31">
        <v>0</v>
      </c>
    </row>
    <row r="12" spans="1:89">
      <c r="A12" s="265">
        <v>9</v>
      </c>
      <c r="B12" s="33">
        <v>0</v>
      </c>
      <c r="C12" s="267">
        <v>45992</v>
      </c>
      <c r="D12" s="274" t="s">
        <v>133</v>
      </c>
      <c r="E12" s="15" t="s">
        <v>98</v>
      </c>
      <c r="F12" s="276" t="s">
        <v>141</v>
      </c>
      <c r="G12" s="276" t="s">
        <v>269</v>
      </c>
      <c r="H12" s="278" t="s">
        <v>373</v>
      </c>
      <c r="I12" s="278" t="s">
        <v>102</v>
      </c>
      <c r="J12" s="280">
        <v>46005</v>
      </c>
      <c r="K12" s="280">
        <v>46006.335974259258</v>
      </c>
      <c r="L12" s="280">
        <v>46007.752640925923</v>
      </c>
      <c r="M12" s="35">
        <v>40000</v>
      </c>
      <c r="N12" s="35"/>
      <c r="O12" s="35"/>
      <c r="P12" s="35"/>
      <c r="Q12" s="35"/>
      <c r="R12" s="35"/>
      <c r="S12" s="35"/>
      <c r="T12" s="35"/>
      <c r="U12" s="35">
        <v>7500</v>
      </c>
      <c r="V12" s="35"/>
      <c r="W12" s="35"/>
      <c r="X12" s="35"/>
      <c r="Y12" s="120"/>
      <c r="Z12" s="22">
        <v>0</v>
      </c>
      <c r="AA12" s="35">
        <v>0</v>
      </c>
      <c r="AB12" s="120"/>
      <c r="AC12" s="35"/>
      <c r="AD12" s="23">
        <v>0</v>
      </c>
      <c r="AE12" s="23">
        <v>0</v>
      </c>
      <c r="AF12" s="35"/>
      <c r="AG12" s="23">
        <v>0</v>
      </c>
      <c r="AH12" s="35"/>
      <c r="AI12" s="35"/>
      <c r="AJ12" s="23">
        <v>0</v>
      </c>
      <c r="AK12" s="23">
        <v>0</v>
      </c>
      <c r="AL12" s="23">
        <v>0</v>
      </c>
      <c r="AM12" s="120"/>
      <c r="AN12" s="120"/>
      <c r="AO12" s="120"/>
      <c r="AP12" s="120"/>
      <c r="AQ12" s="120"/>
      <c r="AR12" s="23">
        <v>0</v>
      </c>
      <c r="AS12" s="35"/>
      <c r="AT12" s="35"/>
      <c r="AU12" s="23">
        <v>0</v>
      </c>
      <c r="AV12" s="21">
        <v>0</v>
      </c>
      <c r="AW12" s="35"/>
      <c r="AX12" s="35"/>
      <c r="AY12" s="23">
        <v>0</v>
      </c>
      <c r="AZ12" s="23">
        <v>0</v>
      </c>
      <c r="BA12" s="23">
        <v>0</v>
      </c>
      <c r="BB12" s="120"/>
      <c r="BC12" s="21">
        <v>0</v>
      </c>
      <c r="BD12" s="282">
        <v>68000</v>
      </c>
      <c r="BE12" s="284">
        <v>46005</v>
      </c>
      <c r="BF12" s="284">
        <v>46014</v>
      </c>
      <c r="BG12" s="286">
        <v>0.7720588235294118</v>
      </c>
      <c r="BH12" s="270" t="s">
        <v>115</v>
      </c>
      <c r="BI12" s="271"/>
      <c r="BJ12" s="288">
        <v>17.54373593331611</v>
      </c>
      <c r="BK12" s="288">
        <v>10.90927876631533</v>
      </c>
      <c r="BL12" s="288">
        <v>5.3495527266349789</v>
      </c>
      <c r="BM12" s="288">
        <v>4.9134520114945532</v>
      </c>
      <c r="BN12" s="288">
        <v>1.550401218962117</v>
      </c>
      <c r="BO12" s="288">
        <v>1.457057180314792</v>
      </c>
      <c r="BP12" s="289">
        <v>6299.2273988439174</v>
      </c>
      <c r="BQ12" s="289">
        <v>5848.4697963444678</v>
      </c>
      <c r="BR12" s="289">
        <v>5532.1444953901173</v>
      </c>
      <c r="BS12" s="113">
        <v>1.7367836532527601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26">
        <v>-1.1052685174931249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20">
        <v>1800</v>
      </c>
      <c r="CH12" s="32">
        <v>0</v>
      </c>
      <c r="CI12" s="32">
        <v>0</v>
      </c>
      <c r="CJ12" s="32">
        <v>0</v>
      </c>
      <c r="CK12" s="32">
        <v>0</v>
      </c>
    </row>
    <row r="13" spans="1:89">
      <c r="A13" s="265">
        <v>10</v>
      </c>
      <c r="B13" s="33">
        <v>0</v>
      </c>
      <c r="C13" s="268">
        <v>45992</v>
      </c>
      <c r="D13" s="274" t="s">
        <v>97</v>
      </c>
      <c r="E13" s="15" t="s">
        <v>98</v>
      </c>
      <c r="F13" s="276" t="s">
        <v>141</v>
      </c>
      <c r="G13" s="276" t="s">
        <v>417</v>
      </c>
      <c r="H13" s="278" t="s">
        <v>375</v>
      </c>
      <c r="I13" s="278" t="s">
        <v>102</v>
      </c>
      <c r="J13" s="280">
        <v>46007</v>
      </c>
      <c r="K13" s="280">
        <v>46007.898474259258</v>
      </c>
      <c r="L13" s="280">
        <v>46008.940140925923</v>
      </c>
      <c r="M13" s="35">
        <v>3000</v>
      </c>
      <c r="N13" s="35"/>
      <c r="O13" s="35"/>
      <c r="P13" s="35"/>
      <c r="Q13" s="35">
        <v>0</v>
      </c>
      <c r="R13" s="35">
        <v>63000</v>
      </c>
      <c r="S13" s="35"/>
      <c r="T13" s="35"/>
      <c r="U13" s="35">
        <v>7500</v>
      </c>
      <c r="V13" s="35"/>
      <c r="W13" s="35"/>
      <c r="X13" s="35"/>
      <c r="Y13" s="120"/>
      <c r="Z13" s="22">
        <v>0</v>
      </c>
      <c r="AA13" s="35">
        <v>0</v>
      </c>
      <c r="AB13" s="120"/>
      <c r="AC13" s="35"/>
      <c r="AD13" s="23">
        <v>0</v>
      </c>
      <c r="AE13" s="23">
        <v>0</v>
      </c>
      <c r="AF13" s="35"/>
      <c r="AG13" s="23">
        <v>0</v>
      </c>
      <c r="AH13" s="35"/>
      <c r="AI13" s="35"/>
      <c r="AJ13" s="23">
        <v>0</v>
      </c>
      <c r="AK13" s="23">
        <v>0</v>
      </c>
      <c r="AL13" s="23">
        <v>0</v>
      </c>
      <c r="AM13" s="120"/>
      <c r="AN13" s="120"/>
      <c r="AO13" s="120"/>
      <c r="AP13" s="120"/>
      <c r="AQ13" s="120"/>
      <c r="AR13" s="23">
        <v>0</v>
      </c>
      <c r="AS13" s="35"/>
      <c r="AT13" s="35"/>
      <c r="AU13" s="23">
        <v>0</v>
      </c>
      <c r="AV13" s="21">
        <v>0</v>
      </c>
      <c r="AW13" s="35"/>
      <c r="AX13" s="35"/>
      <c r="AY13" s="23">
        <v>0</v>
      </c>
      <c r="AZ13" s="23">
        <v>0</v>
      </c>
      <c r="BA13" s="23">
        <v>0</v>
      </c>
      <c r="BB13" s="120"/>
      <c r="BC13" s="21">
        <v>0</v>
      </c>
      <c r="BD13" s="282">
        <v>50000</v>
      </c>
      <c r="BE13" s="284">
        <v>46007</v>
      </c>
      <c r="BF13" s="284">
        <v>46016</v>
      </c>
      <c r="BG13" s="285">
        <v>0.55000000000000004</v>
      </c>
      <c r="BH13" s="270" t="s">
        <v>115</v>
      </c>
      <c r="BI13" s="271"/>
      <c r="BJ13" s="288">
        <v>19.74873966412321</v>
      </c>
      <c r="BK13" s="288">
        <v>11.35415318290848</v>
      </c>
      <c r="BL13" s="288">
        <v>5.4536631458333193</v>
      </c>
      <c r="BM13" s="288">
        <v>4.906675854914762</v>
      </c>
      <c r="BN13" s="288">
        <v>1.2217512510672639</v>
      </c>
      <c r="BO13" s="288">
        <v>1.1403520704281549</v>
      </c>
      <c r="BP13" s="289">
        <v>6192.1254372453332</v>
      </c>
      <c r="BQ13" s="289">
        <v>5625.7821071266026</v>
      </c>
      <c r="BR13" s="289">
        <v>5310.5828550726728</v>
      </c>
      <c r="BS13" s="113">
        <v>7.4999999999999997E-2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26">
        <v>-0.5689714065815622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20">
        <v>2000</v>
      </c>
      <c r="CH13" s="31">
        <v>0.35764891244269242</v>
      </c>
      <c r="CI13" s="31">
        <v>-0.75374756418047939</v>
      </c>
      <c r="CJ13" s="31">
        <v>-0.65980850589965079</v>
      </c>
      <c r="CK13" s="31">
        <v>-0.69202352941171297</v>
      </c>
    </row>
    <row r="14" spans="1:89">
      <c r="A14" s="265">
        <v>11</v>
      </c>
      <c r="B14" s="33">
        <v>0</v>
      </c>
      <c r="C14" s="267">
        <v>45992</v>
      </c>
      <c r="D14" s="274" t="s">
        <v>97</v>
      </c>
      <c r="E14" s="15" t="s">
        <v>98</v>
      </c>
      <c r="F14" s="276" t="s">
        <v>141</v>
      </c>
      <c r="G14" s="276" t="s">
        <v>128</v>
      </c>
      <c r="H14" s="278" t="s">
        <v>418</v>
      </c>
      <c r="I14" s="278" t="s">
        <v>102</v>
      </c>
      <c r="J14" s="280">
        <v>46008</v>
      </c>
      <c r="K14" s="280">
        <v>46009.085974259258</v>
      </c>
      <c r="L14" s="280">
        <v>46011.030418703704</v>
      </c>
      <c r="M14" s="35">
        <v>9000</v>
      </c>
      <c r="N14" s="35">
        <v>3000</v>
      </c>
      <c r="O14" s="35"/>
      <c r="P14" s="35"/>
      <c r="Q14" s="35">
        <v>36900</v>
      </c>
      <c r="R14" s="35"/>
      <c r="S14" s="35"/>
      <c r="T14" s="35"/>
      <c r="U14" s="35">
        <v>7500</v>
      </c>
      <c r="V14" s="35"/>
      <c r="W14" s="35"/>
      <c r="X14" s="35"/>
      <c r="Y14" s="120"/>
      <c r="Z14" s="22">
        <v>0</v>
      </c>
      <c r="AA14" s="35">
        <v>0</v>
      </c>
      <c r="AB14" s="120"/>
      <c r="AC14" s="35"/>
      <c r="AD14" s="23">
        <v>0</v>
      </c>
      <c r="AE14" s="23">
        <v>0</v>
      </c>
      <c r="AF14" s="35"/>
      <c r="AG14" s="23">
        <v>0</v>
      </c>
      <c r="AH14" s="35"/>
      <c r="AI14" s="35">
        <v>5300</v>
      </c>
      <c r="AJ14" s="23">
        <v>0</v>
      </c>
      <c r="AK14" s="23">
        <v>0</v>
      </c>
      <c r="AL14" s="23">
        <v>0</v>
      </c>
      <c r="AM14" s="120"/>
      <c r="AN14" s="120"/>
      <c r="AO14" s="120">
        <v>5300</v>
      </c>
      <c r="AP14" s="120"/>
      <c r="AQ14" s="120"/>
      <c r="AR14" s="23">
        <v>0</v>
      </c>
      <c r="AS14" s="35"/>
      <c r="AT14" s="35"/>
      <c r="AU14" s="23">
        <v>0</v>
      </c>
      <c r="AV14" s="21">
        <v>0</v>
      </c>
      <c r="AW14" s="35"/>
      <c r="AX14" s="35"/>
      <c r="AY14" s="23">
        <v>0</v>
      </c>
      <c r="AZ14" s="23">
        <v>0</v>
      </c>
      <c r="BA14" s="23">
        <v>0</v>
      </c>
      <c r="BB14" s="120"/>
      <c r="BC14" s="21">
        <v>0</v>
      </c>
      <c r="BD14" s="282">
        <v>70000</v>
      </c>
      <c r="BE14" s="284">
        <v>46008</v>
      </c>
      <c r="BF14" s="284">
        <v>46017</v>
      </c>
      <c r="BG14" s="285">
        <v>0.5357142857142857</v>
      </c>
      <c r="BH14" s="270" t="s">
        <v>115</v>
      </c>
      <c r="BI14" s="271"/>
      <c r="BJ14" s="288">
        <v>26.506145512623089</v>
      </c>
      <c r="BK14" s="288">
        <v>13.03556851934357</v>
      </c>
      <c r="BL14" s="288">
        <v>7.9558593595598834</v>
      </c>
      <c r="BM14" s="288">
        <v>6.9172612761563776</v>
      </c>
      <c r="BN14" s="288">
        <v>1.4357904602154961</v>
      </c>
      <c r="BO14" s="288">
        <v>1.3361857771108969</v>
      </c>
      <c r="BP14" s="289">
        <v>5736.6257163062928</v>
      </c>
      <c r="BQ14" s="289">
        <v>4875.3588189427619</v>
      </c>
      <c r="BR14" s="289">
        <v>4540.3383604860855</v>
      </c>
      <c r="BS14" s="114">
        <v>0.69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26">
        <v>-0.65875412592733185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20">
        <v>2000</v>
      </c>
      <c r="CH14" s="32">
        <v>0</v>
      </c>
      <c r="CI14" s="32">
        <v>0</v>
      </c>
      <c r="CJ14" s="32">
        <v>0</v>
      </c>
      <c r="CK14" s="32">
        <v>0</v>
      </c>
    </row>
    <row r="15" spans="1:89">
      <c r="A15" s="265">
        <v>12</v>
      </c>
      <c r="B15" s="33">
        <v>0</v>
      </c>
      <c r="C15" s="268">
        <v>45992</v>
      </c>
      <c r="D15" s="274" t="s">
        <v>148</v>
      </c>
      <c r="E15" s="15" t="s">
        <v>98</v>
      </c>
      <c r="F15" s="276" t="s">
        <v>141</v>
      </c>
      <c r="G15" s="276" t="s">
        <v>419</v>
      </c>
      <c r="H15" s="278" t="s">
        <v>377</v>
      </c>
      <c r="I15" s="278" t="s">
        <v>102</v>
      </c>
      <c r="J15" s="280">
        <v>46010</v>
      </c>
      <c r="K15" s="280">
        <v>46011.426252037039</v>
      </c>
      <c r="L15" s="280">
        <v>46012.572085370368</v>
      </c>
      <c r="M15" s="35">
        <v>5000</v>
      </c>
      <c r="N15" s="35"/>
      <c r="O15" s="35"/>
      <c r="P15" s="35"/>
      <c r="Q15" s="35">
        <v>0</v>
      </c>
      <c r="R15" s="35">
        <v>15000</v>
      </c>
      <c r="S15" s="35">
        <v>22500</v>
      </c>
      <c r="T15" s="35"/>
      <c r="U15" s="35">
        <v>7500</v>
      </c>
      <c r="V15" s="35"/>
      <c r="W15" s="35"/>
      <c r="X15" s="35"/>
      <c r="Y15" s="120"/>
      <c r="Z15" s="22">
        <v>0</v>
      </c>
      <c r="AA15" s="35">
        <v>0</v>
      </c>
      <c r="AB15" s="120"/>
      <c r="AC15" s="35"/>
      <c r="AD15" s="23">
        <v>0</v>
      </c>
      <c r="AE15" s="23">
        <v>0</v>
      </c>
      <c r="AF15" s="35"/>
      <c r="AG15" s="23">
        <v>0</v>
      </c>
      <c r="AH15" s="35"/>
      <c r="AI15" s="35"/>
      <c r="AJ15" s="23">
        <v>0</v>
      </c>
      <c r="AK15" s="23">
        <v>0</v>
      </c>
      <c r="AL15" s="23">
        <v>0</v>
      </c>
      <c r="AM15" s="120"/>
      <c r="AN15" s="120"/>
      <c r="AO15" s="120"/>
      <c r="AP15" s="120"/>
      <c r="AQ15" s="120"/>
      <c r="AR15" s="23">
        <v>0</v>
      </c>
      <c r="AS15" s="35"/>
      <c r="AT15" s="35"/>
      <c r="AU15" s="23">
        <v>0</v>
      </c>
      <c r="AV15" s="21">
        <v>0</v>
      </c>
      <c r="AW15" s="35"/>
      <c r="AX15" s="35"/>
      <c r="AY15" s="23">
        <v>0</v>
      </c>
      <c r="AZ15" s="23">
        <v>0</v>
      </c>
      <c r="BA15" s="23">
        <v>0</v>
      </c>
      <c r="BB15" s="120"/>
      <c r="BC15" s="21">
        <v>0</v>
      </c>
      <c r="BD15" s="282">
        <v>55000</v>
      </c>
      <c r="BE15" s="284">
        <v>46010</v>
      </c>
      <c r="BF15" s="284">
        <v>46019</v>
      </c>
      <c r="BG15" s="286">
        <v>0.95454545454545459</v>
      </c>
      <c r="BH15" s="270" t="s">
        <v>115</v>
      </c>
      <c r="BI15" s="271"/>
      <c r="BJ15" s="288">
        <v>12.027655643146939</v>
      </c>
      <c r="BK15" s="288">
        <v>6.816081036567077</v>
      </c>
      <c r="BL15" s="288">
        <v>5.3640639670564738</v>
      </c>
      <c r="BM15" s="288">
        <v>5.0603041038414291</v>
      </c>
      <c r="BN15" s="288">
        <v>0.96434667315351685</v>
      </c>
      <c r="BO15" s="288">
        <v>0.90815814929884175</v>
      </c>
      <c r="BP15" s="289">
        <v>6854.9875822875438</v>
      </c>
      <c r="BQ15" s="289">
        <v>6471.8872760062022</v>
      </c>
      <c r="BR15" s="289">
        <v>6172.1153581439812</v>
      </c>
      <c r="BS15" s="113">
        <v>1.6966692851531819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26">
        <v>-1.1032267038382479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20">
        <v>2000</v>
      </c>
      <c r="CH15" s="31">
        <v>0</v>
      </c>
      <c r="CI15" s="31">
        <v>0</v>
      </c>
      <c r="CJ15" s="31">
        <v>0</v>
      </c>
      <c r="CK15" s="31">
        <v>0</v>
      </c>
    </row>
    <row r="16" spans="1:89">
      <c r="A16" s="265">
        <v>13</v>
      </c>
      <c r="B16" s="33">
        <v>0</v>
      </c>
      <c r="C16" s="267">
        <v>45992</v>
      </c>
      <c r="D16" s="274" t="s">
        <v>97</v>
      </c>
      <c r="E16" s="15" t="s">
        <v>98</v>
      </c>
      <c r="F16" s="276" t="s">
        <v>141</v>
      </c>
      <c r="G16" s="276" t="s">
        <v>414</v>
      </c>
      <c r="H16" s="278" t="s">
        <v>376</v>
      </c>
      <c r="I16" s="278" t="s">
        <v>102</v>
      </c>
      <c r="J16" s="280">
        <v>46011</v>
      </c>
      <c r="K16" s="280">
        <v>46012.717918703704</v>
      </c>
      <c r="L16" s="280">
        <v>46014.134585370368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20"/>
      <c r="Z16" s="22"/>
      <c r="AA16" s="35"/>
      <c r="AB16" s="120"/>
      <c r="AC16" s="35"/>
      <c r="AD16" s="23"/>
      <c r="AE16" s="23"/>
      <c r="AF16" s="35"/>
      <c r="AG16" s="24"/>
      <c r="AH16" s="35"/>
      <c r="AI16" s="35"/>
      <c r="AJ16" s="23"/>
      <c r="AK16" s="23"/>
      <c r="AL16" s="23"/>
      <c r="AM16" s="120"/>
      <c r="AN16" s="120"/>
      <c r="AO16" s="120"/>
      <c r="AP16" s="120"/>
      <c r="AQ16" s="120"/>
      <c r="AR16" s="23"/>
      <c r="AS16" s="35"/>
      <c r="AT16" s="35"/>
      <c r="AU16" s="23"/>
      <c r="AV16" s="21"/>
      <c r="AW16" s="35"/>
      <c r="AX16" s="35"/>
      <c r="AY16" s="23"/>
      <c r="AZ16" s="23"/>
      <c r="BA16" s="23"/>
      <c r="BB16" s="120"/>
      <c r="BC16" s="21"/>
      <c r="BD16" s="282">
        <v>68000</v>
      </c>
      <c r="BE16" s="284">
        <v>46011</v>
      </c>
      <c r="BF16" s="284">
        <v>46020</v>
      </c>
      <c r="BG16" s="285">
        <v>0.55882352941176472</v>
      </c>
      <c r="BH16" s="270" t="s">
        <v>115</v>
      </c>
      <c r="BI16" s="271"/>
      <c r="BJ16" s="288">
        <v>22.607532173949881</v>
      </c>
      <c r="BK16" s="288">
        <v>14.2836906223194</v>
      </c>
      <c r="BL16" s="288">
        <v>6.5907241154080252</v>
      </c>
      <c r="BM16" s="288">
        <v>5.8772312135829354</v>
      </c>
      <c r="BN16" s="288">
        <v>1.346308669857877</v>
      </c>
      <c r="BO16" s="288">
        <v>1.2642750449150939</v>
      </c>
      <c r="BP16" s="289">
        <v>5770.7618491365629</v>
      </c>
      <c r="BQ16" s="289">
        <v>5237.8538165523869</v>
      </c>
      <c r="BR16" s="289">
        <v>4917.4672192643666</v>
      </c>
      <c r="BS16" s="114"/>
      <c r="BT16" s="16"/>
      <c r="BU16" s="16"/>
      <c r="BV16" s="16"/>
      <c r="BW16" s="16"/>
      <c r="BX16" s="16"/>
      <c r="BY16" s="16"/>
      <c r="BZ16" s="26"/>
      <c r="CA16" s="16"/>
      <c r="CB16" s="16"/>
      <c r="CC16" s="16"/>
      <c r="CD16" s="16"/>
      <c r="CE16" s="16"/>
      <c r="CF16" s="16"/>
      <c r="CG16" s="20"/>
      <c r="CH16" s="32"/>
      <c r="CI16" s="32"/>
      <c r="CJ16" s="32"/>
      <c r="CK16" s="32"/>
    </row>
    <row r="17" spans="1:89">
      <c r="A17" s="265">
        <v>14</v>
      </c>
      <c r="B17" s="33">
        <v>0</v>
      </c>
      <c r="C17" s="268">
        <v>45992</v>
      </c>
      <c r="D17" s="274" t="s">
        <v>97</v>
      </c>
      <c r="E17" s="15" t="s">
        <v>98</v>
      </c>
      <c r="F17" s="276" t="s">
        <v>141</v>
      </c>
      <c r="G17" s="276" t="s">
        <v>273</v>
      </c>
      <c r="H17" s="278" t="s">
        <v>379</v>
      </c>
      <c r="I17" s="278" t="s">
        <v>102</v>
      </c>
      <c r="J17" s="280">
        <v>46012</v>
      </c>
      <c r="K17" s="280">
        <v>46014.280418703704</v>
      </c>
      <c r="L17" s="280">
        <v>46015.842918703704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120"/>
      <c r="Z17" s="22"/>
      <c r="AA17" s="35"/>
      <c r="AB17" s="120"/>
      <c r="AC17" s="35"/>
      <c r="AD17" s="23"/>
      <c r="AE17" s="23"/>
      <c r="AF17" s="35"/>
      <c r="AG17" s="23"/>
      <c r="AH17" s="35"/>
      <c r="AI17" s="35"/>
      <c r="AJ17" s="23"/>
      <c r="AK17" s="23"/>
      <c r="AL17" s="23"/>
      <c r="AM17" s="120"/>
      <c r="AN17" s="120"/>
      <c r="AO17" s="120"/>
      <c r="AP17" s="120"/>
      <c r="AQ17" s="120"/>
      <c r="AR17" s="23"/>
      <c r="AS17" s="35"/>
      <c r="AT17" s="35"/>
      <c r="AU17" s="23"/>
      <c r="AV17" s="21"/>
      <c r="AW17" s="35"/>
      <c r="AX17" s="35"/>
      <c r="AY17" s="23"/>
      <c r="AZ17" s="23"/>
      <c r="BA17" s="23"/>
      <c r="BB17" s="120"/>
      <c r="BC17" s="21"/>
      <c r="BD17" s="282">
        <v>75000</v>
      </c>
      <c r="BE17" s="284">
        <v>46012</v>
      </c>
      <c r="BF17" s="284">
        <v>46021</v>
      </c>
      <c r="BG17" s="286">
        <v>1</v>
      </c>
      <c r="BH17" s="270" t="s">
        <v>115</v>
      </c>
      <c r="BI17" s="271"/>
      <c r="BJ17" s="288">
        <v>15.588573660359121</v>
      </c>
      <c r="BK17" s="288">
        <v>10.588573660359121</v>
      </c>
      <c r="BL17" s="288">
        <v>5.6717216192987463</v>
      </c>
      <c r="BM17" s="288">
        <v>5.3545517758296368</v>
      </c>
      <c r="BN17" s="288">
        <v>2.402073873475806</v>
      </c>
      <c r="BO17" s="288">
        <v>2.2677468656305662</v>
      </c>
      <c r="BP17" s="289">
        <v>6263.8937799025944</v>
      </c>
      <c r="BQ17" s="289">
        <v>5913.608920554283</v>
      </c>
      <c r="BR17" s="289">
        <v>5610.8796848932634</v>
      </c>
      <c r="BS17" s="113"/>
      <c r="BT17" s="16"/>
      <c r="BU17" s="16"/>
      <c r="BV17" s="16"/>
      <c r="BW17" s="16"/>
      <c r="BX17" s="16"/>
      <c r="BY17" s="16"/>
      <c r="BZ17" s="26"/>
      <c r="CA17" s="16"/>
      <c r="CB17" s="16"/>
      <c r="CC17" s="16"/>
      <c r="CD17" s="16"/>
      <c r="CE17" s="16"/>
      <c r="CF17" s="16"/>
      <c r="CG17" s="20"/>
      <c r="CH17" s="31"/>
      <c r="CI17" s="31"/>
      <c r="CJ17" s="31"/>
      <c r="CK17" s="31"/>
    </row>
    <row r="18" spans="1:89">
      <c r="A18" s="265">
        <v>15</v>
      </c>
      <c r="B18" s="33">
        <v>0</v>
      </c>
      <c r="C18" s="267">
        <v>45992</v>
      </c>
      <c r="D18" s="274" t="s">
        <v>97</v>
      </c>
      <c r="E18" s="96" t="s">
        <v>98</v>
      </c>
      <c r="F18" s="276" t="s">
        <v>141</v>
      </c>
      <c r="G18" s="276" t="s">
        <v>165</v>
      </c>
      <c r="H18" s="278" t="s">
        <v>378</v>
      </c>
      <c r="I18" s="278" t="s">
        <v>102</v>
      </c>
      <c r="J18" s="280">
        <v>46013</v>
      </c>
      <c r="K18" s="280">
        <v>46015.988752037039</v>
      </c>
      <c r="L18" s="280">
        <v>46017.551252037039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20"/>
      <c r="Z18" s="22"/>
      <c r="AA18" s="35"/>
      <c r="AB18" s="120"/>
      <c r="AC18" s="35"/>
      <c r="AD18" s="23"/>
      <c r="AE18" s="23"/>
      <c r="AF18" s="35"/>
      <c r="AG18" s="23"/>
      <c r="AH18" s="35"/>
      <c r="AI18" s="35"/>
      <c r="AJ18" s="23"/>
      <c r="AK18" s="23"/>
      <c r="AL18" s="23"/>
      <c r="AM18" s="120"/>
      <c r="AN18" s="120"/>
      <c r="AO18" s="120"/>
      <c r="AP18" s="120"/>
      <c r="AQ18" s="120"/>
      <c r="AR18" s="23"/>
      <c r="AS18" s="35"/>
      <c r="AT18" s="35"/>
      <c r="AU18" s="23"/>
      <c r="AV18" s="21"/>
      <c r="AW18" s="35"/>
      <c r="AX18" s="35"/>
      <c r="AY18" s="23"/>
      <c r="AZ18" s="23"/>
      <c r="BA18" s="23"/>
      <c r="BB18" s="120"/>
      <c r="BC18" s="21"/>
      <c r="BD18" s="282">
        <v>75000</v>
      </c>
      <c r="BE18" s="284">
        <v>46013</v>
      </c>
      <c r="BF18" s="284">
        <v>46022</v>
      </c>
      <c r="BG18" s="286">
        <v>0.6</v>
      </c>
      <c r="BH18" s="270" t="s">
        <v>115</v>
      </c>
      <c r="BI18" s="271"/>
      <c r="BJ18" s="288">
        <v>12.473073304545769</v>
      </c>
      <c r="BK18" s="288">
        <v>7.9442022999324617</v>
      </c>
      <c r="BL18" s="288">
        <v>5.722207447035828</v>
      </c>
      <c r="BM18" s="288">
        <v>5.4281276303883974</v>
      </c>
      <c r="BN18" s="288">
        <v>1.0097515659850149</v>
      </c>
      <c r="BO18" s="288">
        <v>0.96054919940005346</v>
      </c>
      <c r="BP18" s="289">
        <v>6706.7690021030166</v>
      </c>
      <c r="BQ18" s="289">
        <v>6378.6566429219474</v>
      </c>
      <c r="BR18" s="289">
        <v>6081.2942486968368</v>
      </c>
      <c r="BS18" s="113"/>
      <c r="BT18" s="16"/>
      <c r="BU18" s="16"/>
      <c r="BV18" s="16"/>
      <c r="BW18" s="16"/>
      <c r="BX18" s="16"/>
      <c r="BY18" s="16"/>
      <c r="BZ18" s="26"/>
      <c r="CA18" s="16"/>
      <c r="CB18" s="16"/>
      <c r="CC18" s="16"/>
      <c r="CD18" s="16"/>
      <c r="CE18" s="16"/>
      <c r="CF18" s="16"/>
      <c r="CG18" s="20"/>
      <c r="CH18" s="32"/>
      <c r="CI18" s="32"/>
      <c r="CJ18" s="32"/>
      <c r="CK18" s="32"/>
    </row>
    <row r="19" spans="1:89">
      <c r="A19" s="265">
        <v>16</v>
      </c>
      <c r="B19" s="33">
        <v>0</v>
      </c>
      <c r="C19" s="268">
        <v>45992</v>
      </c>
      <c r="D19" s="274" t="s">
        <v>148</v>
      </c>
      <c r="E19" s="96" t="s">
        <v>98</v>
      </c>
      <c r="F19" s="276" t="s">
        <v>141</v>
      </c>
      <c r="G19" s="276" t="s">
        <v>195</v>
      </c>
      <c r="H19" s="278" t="s">
        <v>336</v>
      </c>
      <c r="I19" s="278" t="s">
        <v>102</v>
      </c>
      <c r="J19" s="280">
        <v>46015</v>
      </c>
      <c r="K19" s="280">
        <v>46017.947085370368</v>
      </c>
      <c r="L19" s="280">
        <v>46018.988752037039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120"/>
      <c r="Z19" s="22"/>
      <c r="AA19" s="35"/>
      <c r="AB19" s="120"/>
      <c r="AC19" s="35"/>
      <c r="AD19" s="23"/>
      <c r="AE19" s="23"/>
      <c r="AF19" s="35"/>
      <c r="AG19" s="23"/>
      <c r="AH19" s="35"/>
      <c r="AI19" s="35"/>
      <c r="AJ19" s="23"/>
      <c r="AK19" s="23"/>
      <c r="AL19" s="23"/>
      <c r="AM19" s="120"/>
      <c r="AN19" s="120"/>
      <c r="AO19" s="120"/>
      <c r="AP19" s="120"/>
      <c r="AQ19" s="120"/>
      <c r="AR19" s="23"/>
      <c r="AS19" s="35"/>
      <c r="AT19" s="35"/>
      <c r="AU19" s="23"/>
      <c r="AV19" s="21"/>
      <c r="AW19" s="35"/>
      <c r="AX19" s="35"/>
      <c r="AY19" s="23"/>
      <c r="AZ19" s="23"/>
      <c r="BA19" s="23"/>
      <c r="BB19" s="120"/>
      <c r="BC19" s="21"/>
      <c r="BD19" s="282">
        <v>50000</v>
      </c>
      <c r="BE19" s="284">
        <v>46015</v>
      </c>
      <c r="BF19" s="284">
        <v>46024</v>
      </c>
      <c r="BG19" s="286">
        <v>0.8</v>
      </c>
      <c r="BH19" s="270" t="s">
        <v>115</v>
      </c>
      <c r="BI19" s="271"/>
      <c r="BJ19" s="288">
        <v>12.07874744649166</v>
      </c>
      <c r="BK19" s="288">
        <v>6.1643545296631412</v>
      </c>
      <c r="BL19" s="288">
        <v>6.2891692262767727</v>
      </c>
      <c r="BM19" s="288">
        <v>5.8910666245705876</v>
      </c>
      <c r="BN19" s="288">
        <v>1.2912706547417701</v>
      </c>
      <c r="BO19" s="288">
        <v>1.2099102226327521</v>
      </c>
      <c r="BP19" s="289">
        <v>6834.5555977170989</v>
      </c>
      <c r="BQ19" s="289">
        <v>6403.9231110821984</v>
      </c>
      <c r="BR19" s="289">
        <v>6104.6061395640918</v>
      </c>
      <c r="BS19" s="113"/>
      <c r="BT19" s="16"/>
      <c r="BU19" s="16"/>
      <c r="BV19" s="16"/>
      <c r="BW19" s="16"/>
      <c r="BX19" s="16"/>
      <c r="BY19" s="16"/>
      <c r="BZ19" s="26"/>
      <c r="CA19" s="16"/>
      <c r="CB19" s="16"/>
      <c r="CC19" s="16"/>
      <c r="CD19" s="16"/>
      <c r="CE19" s="16"/>
      <c r="CF19" s="16"/>
      <c r="CG19" s="20"/>
      <c r="CH19" s="31"/>
      <c r="CI19" s="31"/>
      <c r="CJ19" s="31"/>
      <c r="CK19" s="31"/>
    </row>
    <row r="20" spans="1:89">
      <c r="A20" s="265">
        <v>17</v>
      </c>
      <c r="B20" s="33">
        <v>0</v>
      </c>
      <c r="C20" s="267">
        <v>45992</v>
      </c>
      <c r="D20" s="274" t="s">
        <v>97</v>
      </c>
      <c r="E20" s="96" t="s">
        <v>98</v>
      </c>
      <c r="F20" s="276" t="s">
        <v>141</v>
      </c>
      <c r="G20" s="276" t="s">
        <v>128</v>
      </c>
      <c r="H20" s="278" t="s">
        <v>420</v>
      </c>
      <c r="I20" s="278" t="s">
        <v>102</v>
      </c>
      <c r="J20" s="280">
        <v>46016</v>
      </c>
      <c r="K20" s="280">
        <v>46019.134585370368</v>
      </c>
      <c r="L20" s="280">
        <v>46021.079029814813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120"/>
      <c r="Z20" s="22"/>
      <c r="AA20" s="35"/>
      <c r="AB20" s="120"/>
      <c r="AC20" s="35"/>
      <c r="AD20" s="23"/>
      <c r="AE20" s="23"/>
      <c r="AF20" s="35"/>
      <c r="AG20" s="23"/>
      <c r="AH20" s="35"/>
      <c r="AI20" s="35"/>
      <c r="AJ20" s="23"/>
      <c r="AK20" s="23"/>
      <c r="AL20" s="23"/>
      <c r="AM20" s="120"/>
      <c r="AN20" s="120"/>
      <c r="AO20" s="120"/>
      <c r="AP20" s="120"/>
      <c r="AQ20" s="120"/>
      <c r="AR20" s="23"/>
      <c r="AS20" s="35"/>
      <c r="AT20" s="35"/>
      <c r="AU20" s="23"/>
      <c r="AV20" s="21"/>
      <c r="AW20" s="35"/>
      <c r="AX20" s="35"/>
      <c r="AY20" s="23"/>
      <c r="AZ20" s="23"/>
      <c r="BA20" s="23"/>
      <c r="BB20" s="120"/>
      <c r="BC20" s="21"/>
      <c r="BD20" s="282">
        <v>70000</v>
      </c>
      <c r="BE20" s="284">
        <v>46016</v>
      </c>
      <c r="BF20" s="284">
        <v>46025</v>
      </c>
      <c r="BG20" s="285">
        <v>0.5714285714285714</v>
      </c>
      <c r="BH20" s="270" t="s">
        <v>115</v>
      </c>
      <c r="BI20" s="271"/>
      <c r="BJ20" s="288">
        <v>23.595882388356848</v>
      </c>
      <c r="BK20" s="288">
        <v>13.506202705186089</v>
      </c>
      <c r="BL20" s="288">
        <v>8.1753791328360741</v>
      </c>
      <c r="BM20" s="288">
        <v>7.3131104758636134</v>
      </c>
      <c r="BN20" s="288">
        <v>1.515595255217471</v>
      </c>
      <c r="BO20" s="288">
        <v>1.417965425009986</v>
      </c>
      <c r="BP20" s="289">
        <v>5697.7038867359561</v>
      </c>
      <c r="BQ20" s="289">
        <v>5055.2987774560152</v>
      </c>
      <c r="BR20" s="289">
        <v>4731.4782535552558</v>
      </c>
      <c r="BS20" s="113"/>
      <c r="BT20" s="16"/>
      <c r="BU20" s="16"/>
      <c r="BV20" s="16"/>
      <c r="BW20" s="16"/>
      <c r="BX20" s="16"/>
      <c r="BY20" s="16"/>
      <c r="BZ20" s="26"/>
      <c r="CA20" s="16"/>
      <c r="CB20" s="16"/>
      <c r="CC20" s="16"/>
      <c r="CD20" s="16"/>
      <c r="CE20" s="16"/>
      <c r="CF20" s="16"/>
      <c r="CG20" s="20"/>
      <c r="CH20" s="32"/>
      <c r="CI20" s="32"/>
      <c r="CJ20" s="32"/>
      <c r="CK20" s="32"/>
    </row>
    <row r="21" spans="1:89">
      <c r="A21" s="265">
        <v>18</v>
      </c>
      <c r="B21" s="33">
        <v>0</v>
      </c>
      <c r="C21" s="267">
        <v>45992</v>
      </c>
      <c r="D21" s="274" t="s">
        <v>97</v>
      </c>
      <c r="E21" s="15" t="s">
        <v>179</v>
      </c>
      <c r="F21" s="276" t="s">
        <v>186</v>
      </c>
      <c r="G21" s="276" t="s">
        <v>181</v>
      </c>
      <c r="H21" s="278" t="s">
        <v>380</v>
      </c>
      <c r="I21" s="278" t="s">
        <v>102</v>
      </c>
      <c r="J21" s="280">
        <v>0</v>
      </c>
      <c r="K21" s="280">
        <v>0</v>
      </c>
      <c r="L21" s="280">
        <v>0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120"/>
      <c r="Z21" s="22"/>
      <c r="AA21" s="35"/>
      <c r="AB21" s="120"/>
      <c r="AC21" s="35"/>
      <c r="AD21" s="23"/>
      <c r="AE21" s="23"/>
      <c r="AF21" s="35"/>
      <c r="AG21" s="23"/>
      <c r="AH21" s="35"/>
      <c r="AI21" s="35"/>
      <c r="AJ21" s="23"/>
      <c r="AK21" s="23"/>
      <c r="AL21" s="23"/>
      <c r="AM21" s="120"/>
      <c r="AN21" s="120"/>
      <c r="AO21" s="120"/>
      <c r="AP21" s="120"/>
      <c r="AQ21" s="120"/>
      <c r="AR21" s="23"/>
      <c r="AS21" s="35"/>
      <c r="AT21" s="35"/>
      <c r="AU21" s="23"/>
      <c r="AV21" s="21"/>
      <c r="AW21" s="35"/>
      <c r="AX21" s="35"/>
      <c r="AY21" s="23"/>
      <c r="AZ21" s="23"/>
      <c r="BA21" s="23"/>
      <c r="BB21" s="120"/>
      <c r="BC21" s="21"/>
      <c r="BD21" s="282">
        <v>7500</v>
      </c>
      <c r="BE21" s="283"/>
      <c r="BF21" s="283"/>
      <c r="BG21" s="286">
        <v>1</v>
      </c>
      <c r="BH21" s="270" t="s">
        <v>115</v>
      </c>
      <c r="BI21" s="271"/>
      <c r="BJ21" s="288">
        <v>15.38832822923446</v>
      </c>
      <c r="BK21" s="288">
        <v>10.38832822923446</v>
      </c>
      <c r="BL21" s="288">
        <v>5.5594276668015823</v>
      </c>
      <c r="BM21" s="288">
        <v>5.249189559221807</v>
      </c>
      <c r="BN21" s="288">
        <v>2.1821795969076581</v>
      </c>
      <c r="BO21" s="288">
        <v>2.0603452735763521</v>
      </c>
      <c r="BP21" s="289">
        <v>6297.3299800482682</v>
      </c>
      <c r="BQ21" s="289">
        <v>5945.9688614676224</v>
      </c>
      <c r="BR21" s="289">
        <v>5644.238771543839</v>
      </c>
      <c r="BS21" s="113"/>
      <c r="BT21" s="16"/>
      <c r="BU21" s="16"/>
      <c r="BV21" s="16"/>
      <c r="BW21" s="16"/>
      <c r="BX21" s="16"/>
      <c r="BY21" s="16"/>
      <c r="BZ21" s="26"/>
      <c r="CA21" s="16"/>
      <c r="CB21" s="16"/>
      <c r="CC21" s="16"/>
      <c r="CD21" s="16"/>
      <c r="CE21" s="16"/>
      <c r="CF21" s="16"/>
      <c r="CG21" s="20"/>
      <c r="CH21" s="31"/>
      <c r="CI21" s="31"/>
      <c r="CJ21" s="31"/>
      <c r="CK21" s="31"/>
    </row>
    <row r="22" spans="1:89">
      <c r="A22" s="265">
        <v>19</v>
      </c>
      <c r="B22" s="33">
        <v>0</v>
      </c>
      <c r="C22" s="267">
        <v>45992</v>
      </c>
      <c r="D22" s="274" t="s">
        <v>97</v>
      </c>
      <c r="E22" s="15" t="s">
        <v>179</v>
      </c>
      <c r="F22" s="276" t="s">
        <v>186</v>
      </c>
      <c r="G22" s="276" t="s">
        <v>181</v>
      </c>
      <c r="H22" s="278" t="s">
        <v>381</v>
      </c>
      <c r="I22" s="278" t="s">
        <v>102</v>
      </c>
      <c r="J22" s="280">
        <v>0</v>
      </c>
      <c r="K22" s="280">
        <v>0</v>
      </c>
      <c r="L22" s="280">
        <v>0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120"/>
      <c r="Z22" s="22"/>
      <c r="AA22" s="35"/>
      <c r="AB22" s="120"/>
      <c r="AC22" s="35"/>
      <c r="AD22" s="23"/>
      <c r="AE22" s="23"/>
      <c r="AF22" s="35"/>
      <c r="AG22" s="23"/>
      <c r="AH22" s="35"/>
      <c r="AI22" s="35"/>
      <c r="AJ22" s="23"/>
      <c r="AK22" s="23"/>
      <c r="AL22" s="23"/>
      <c r="AM22" s="120"/>
      <c r="AN22" s="120"/>
      <c r="AO22" s="120"/>
      <c r="AP22" s="120"/>
      <c r="AQ22" s="120"/>
      <c r="AR22" s="23"/>
      <c r="AS22" s="35"/>
      <c r="AT22" s="35"/>
      <c r="AU22" s="23"/>
      <c r="AV22" s="21"/>
      <c r="AW22" s="35"/>
      <c r="AX22" s="35"/>
      <c r="AY22" s="23"/>
      <c r="AZ22" s="23"/>
      <c r="BA22" s="23"/>
      <c r="BB22" s="120"/>
      <c r="BC22" s="21"/>
      <c r="BD22" s="282">
        <v>7500</v>
      </c>
      <c r="BE22" s="283"/>
      <c r="BF22" s="283"/>
      <c r="BG22" s="286">
        <v>1</v>
      </c>
      <c r="BH22" s="270" t="s">
        <v>115</v>
      </c>
      <c r="BI22" s="271"/>
      <c r="BJ22" s="288">
        <v>15.38832822923446</v>
      </c>
      <c r="BK22" s="288">
        <v>10.38832822923446</v>
      </c>
      <c r="BL22" s="288">
        <v>5.5594276668015823</v>
      </c>
      <c r="BM22" s="288">
        <v>5.249189559221807</v>
      </c>
      <c r="BN22" s="288">
        <v>2.1821795969076581</v>
      </c>
      <c r="BO22" s="288">
        <v>2.0603452735763521</v>
      </c>
      <c r="BP22" s="289">
        <v>6297.3299800482682</v>
      </c>
      <c r="BQ22" s="289">
        <v>5945.9688614676224</v>
      </c>
      <c r="BR22" s="289">
        <v>5644.238771543839</v>
      </c>
      <c r="BS22" s="113"/>
      <c r="BT22" s="16"/>
      <c r="BU22" s="16"/>
      <c r="BV22" s="16"/>
      <c r="BW22" s="16"/>
      <c r="BX22" s="16"/>
      <c r="BY22" s="16"/>
      <c r="BZ22" s="26"/>
      <c r="CA22" s="16"/>
      <c r="CB22" s="16"/>
      <c r="CC22" s="16"/>
      <c r="CD22" s="16"/>
      <c r="CE22" s="16"/>
      <c r="CF22" s="16"/>
      <c r="CG22" s="20"/>
      <c r="CH22" s="32"/>
      <c r="CI22" s="32"/>
      <c r="CJ22" s="32"/>
      <c r="CK22" s="32"/>
    </row>
    <row r="23" spans="1:89">
      <c r="A23" s="265">
        <v>20</v>
      </c>
      <c r="B23" s="33">
        <v>0</v>
      </c>
      <c r="C23" s="267">
        <v>45992</v>
      </c>
      <c r="D23" s="274" t="s">
        <v>97</v>
      </c>
      <c r="E23" s="15" t="s">
        <v>179</v>
      </c>
      <c r="F23" s="276" t="s">
        <v>186</v>
      </c>
      <c r="G23" s="276" t="s">
        <v>187</v>
      </c>
      <c r="H23" s="278" t="s">
        <v>188</v>
      </c>
      <c r="I23" s="278" t="s">
        <v>102</v>
      </c>
      <c r="J23" s="280">
        <v>0</v>
      </c>
      <c r="K23" s="280">
        <v>0</v>
      </c>
      <c r="L23" s="280">
        <v>0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120"/>
      <c r="Z23" s="22"/>
      <c r="AA23" s="35"/>
      <c r="AB23" s="120"/>
      <c r="AC23" s="35"/>
      <c r="AD23" s="23"/>
      <c r="AE23" s="23"/>
      <c r="AF23" s="35"/>
      <c r="AG23" s="23"/>
      <c r="AH23" s="35"/>
      <c r="AI23" s="35"/>
      <c r="AJ23" s="23"/>
      <c r="AK23" s="23"/>
      <c r="AL23" s="23"/>
      <c r="AM23" s="120"/>
      <c r="AN23" s="120"/>
      <c r="AO23" s="120"/>
      <c r="AP23" s="120"/>
      <c r="AQ23" s="120"/>
      <c r="AR23" s="23"/>
      <c r="AS23" s="35"/>
      <c r="AT23" s="35"/>
      <c r="AU23" s="23"/>
      <c r="AV23" s="21"/>
      <c r="AW23" s="35"/>
      <c r="AX23" s="35"/>
      <c r="AY23" s="23"/>
      <c r="AZ23" s="23"/>
      <c r="BA23" s="23"/>
      <c r="BB23" s="120"/>
      <c r="BC23" s="21"/>
      <c r="BD23" s="282">
        <v>7500</v>
      </c>
      <c r="BE23" s="283"/>
      <c r="BF23" s="283"/>
      <c r="BG23" s="286">
        <v>1</v>
      </c>
      <c r="BH23" s="270" t="s">
        <v>115</v>
      </c>
      <c r="BI23" s="271"/>
      <c r="BJ23" s="288">
        <v>15.38832822923446</v>
      </c>
      <c r="BK23" s="288">
        <v>10.38832822923446</v>
      </c>
      <c r="BL23" s="288">
        <v>5.5594276668015823</v>
      </c>
      <c r="BM23" s="288">
        <v>5.249189559221807</v>
      </c>
      <c r="BN23" s="288">
        <v>2.1821795969076581</v>
      </c>
      <c r="BO23" s="288">
        <v>2.0603452735763521</v>
      </c>
      <c r="BP23" s="289">
        <v>6297.3299800482682</v>
      </c>
      <c r="BQ23" s="289">
        <v>5945.9688614676224</v>
      </c>
      <c r="BR23" s="289">
        <v>5644.238771543839</v>
      </c>
      <c r="BS23" s="113"/>
      <c r="BT23" s="16"/>
      <c r="BU23" s="16"/>
      <c r="BV23" s="16"/>
      <c r="BW23" s="16"/>
      <c r="BX23" s="16"/>
      <c r="BY23" s="16"/>
      <c r="BZ23" s="26"/>
      <c r="CA23" s="16"/>
      <c r="CB23" s="16"/>
      <c r="CC23" s="16"/>
      <c r="CD23" s="16"/>
      <c r="CE23" s="16"/>
      <c r="CF23" s="16"/>
      <c r="CG23" s="20"/>
      <c r="CH23" s="31"/>
      <c r="CI23" s="31"/>
      <c r="CJ23" s="31"/>
      <c r="CK23" s="31"/>
    </row>
    <row r="24" spans="1:89">
      <c r="A24" s="265">
        <v>21</v>
      </c>
      <c r="B24" s="33">
        <v>0</v>
      </c>
      <c r="C24" s="267">
        <v>45992</v>
      </c>
      <c r="D24" s="274" t="s">
        <v>97</v>
      </c>
      <c r="E24" s="15" t="s">
        <v>179</v>
      </c>
      <c r="F24" s="276" t="s">
        <v>186</v>
      </c>
      <c r="G24" s="276" t="s">
        <v>341</v>
      </c>
      <c r="H24" s="278" t="s">
        <v>383</v>
      </c>
      <c r="I24" s="278" t="s">
        <v>102</v>
      </c>
      <c r="J24" s="280">
        <v>0</v>
      </c>
      <c r="K24" s="280">
        <v>0</v>
      </c>
      <c r="L24" s="280">
        <v>0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120"/>
      <c r="Z24" s="22"/>
      <c r="AA24" s="35"/>
      <c r="AB24" s="120"/>
      <c r="AC24" s="35"/>
      <c r="AD24" s="23"/>
      <c r="AE24" s="23"/>
      <c r="AF24" s="35"/>
      <c r="AG24" s="23"/>
      <c r="AH24" s="35"/>
      <c r="AI24" s="35"/>
      <c r="AJ24" s="23"/>
      <c r="AK24" s="23"/>
      <c r="AL24" s="23"/>
      <c r="AM24" s="120"/>
      <c r="AN24" s="120"/>
      <c r="AO24" s="120"/>
      <c r="AP24" s="120"/>
      <c r="AQ24" s="120"/>
      <c r="AR24" s="23"/>
      <c r="AS24" s="35"/>
      <c r="AT24" s="35"/>
      <c r="AU24" s="23"/>
      <c r="AV24" s="21"/>
      <c r="AW24" s="35"/>
      <c r="AX24" s="35"/>
      <c r="AY24" s="23"/>
      <c r="AZ24" s="23"/>
      <c r="BA24" s="23"/>
      <c r="BB24" s="120"/>
      <c r="BC24" s="21"/>
      <c r="BD24" s="282">
        <v>7500</v>
      </c>
      <c r="BE24" s="283"/>
      <c r="BF24" s="283"/>
      <c r="BG24" s="286">
        <v>1</v>
      </c>
      <c r="BH24" s="270" t="s">
        <v>115</v>
      </c>
      <c r="BI24" s="271"/>
      <c r="BJ24" s="288">
        <v>15.38832822923446</v>
      </c>
      <c r="BK24" s="288">
        <v>10.38832822923446</v>
      </c>
      <c r="BL24" s="288">
        <v>5.5594276668015823</v>
      </c>
      <c r="BM24" s="288">
        <v>5.249189559221807</v>
      </c>
      <c r="BN24" s="288">
        <v>2.1821795969076581</v>
      </c>
      <c r="BO24" s="288">
        <v>2.0603452735763521</v>
      </c>
      <c r="BP24" s="289">
        <v>6297.3299800482682</v>
      </c>
      <c r="BQ24" s="289">
        <v>5945.9688614676224</v>
      </c>
      <c r="BR24" s="289">
        <v>5644.238771543839</v>
      </c>
      <c r="BS24" s="113"/>
      <c r="BT24" s="16"/>
      <c r="BU24" s="16"/>
      <c r="BV24" s="16"/>
      <c r="BW24" s="16"/>
      <c r="BX24" s="16"/>
      <c r="BY24" s="16"/>
      <c r="BZ24" s="26"/>
      <c r="CA24" s="16"/>
      <c r="CB24" s="16"/>
      <c r="CC24" s="16"/>
      <c r="CD24" s="16"/>
      <c r="CE24" s="16"/>
      <c r="CF24" s="16"/>
      <c r="CG24" s="20"/>
      <c r="CH24" s="32"/>
      <c r="CI24" s="32"/>
      <c r="CJ24" s="32"/>
      <c r="CK24" s="32"/>
    </row>
    <row r="25" spans="1:89">
      <c r="A25" s="265">
        <v>22</v>
      </c>
      <c r="B25" s="33">
        <v>0</v>
      </c>
      <c r="C25" s="268">
        <v>45992</v>
      </c>
      <c r="D25" s="274" t="s">
        <v>97</v>
      </c>
      <c r="E25" s="15" t="s">
        <v>189</v>
      </c>
      <c r="F25" s="276" t="s">
        <v>190</v>
      </c>
      <c r="G25" s="276" t="s">
        <v>191</v>
      </c>
      <c r="H25" s="278" t="s">
        <v>384</v>
      </c>
      <c r="I25" s="278" t="s">
        <v>102</v>
      </c>
      <c r="J25" s="280">
        <v>0</v>
      </c>
      <c r="K25" s="280">
        <v>0</v>
      </c>
      <c r="L25" s="280">
        <v>0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120"/>
      <c r="Z25" s="22"/>
      <c r="AA25" s="35"/>
      <c r="AB25" s="120"/>
      <c r="AC25" s="35"/>
      <c r="AD25" s="23"/>
      <c r="AE25" s="23"/>
      <c r="AF25" s="35"/>
      <c r="AG25" s="23"/>
      <c r="AH25" s="35"/>
      <c r="AI25" s="35"/>
      <c r="AJ25" s="23"/>
      <c r="AK25" s="23"/>
      <c r="AL25" s="23"/>
      <c r="AM25" s="120"/>
      <c r="AN25" s="120"/>
      <c r="AO25" s="120"/>
      <c r="AP25" s="120"/>
      <c r="AQ25" s="120"/>
      <c r="AR25" s="23"/>
      <c r="AS25" s="35"/>
      <c r="AT25" s="35"/>
      <c r="AU25" s="23"/>
      <c r="AV25" s="21"/>
      <c r="AW25" s="35"/>
      <c r="AX25" s="35"/>
      <c r="AY25" s="23"/>
      <c r="AZ25" s="23"/>
      <c r="BA25" s="23"/>
      <c r="BB25" s="120"/>
      <c r="BC25" s="21"/>
      <c r="BD25" s="282">
        <v>2000</v>
      </c>
      <c r="BE25" s="283"/>
      <c r="BF25" s="283"/>
      <c r="BG25" s="287">
        <v>1</v>
      </c>
      <c r="BH25" s="270" t="s">
        <v>115</v>
      </c>
      <c r="BI25" s="271"/>
      <c r="BJ25" s="288">
        <v>14.83765329364163</v>
      </c>
      <c r="BK25" s="288">
        <v>9.8376532936416332</v>
      </c>
      <c r="BL25" s="288">
        <v>5.2506192974343806</v>
      </c>
      <c r="BM25" s="288">
        <v>4.959443463550274</v>
      </c>
      <c r="BN25" s="288">
        <v>1.5774703363452529</v>
      </c>
      <c r="BO25" s="288">
        <v>1.4899908954272629</v>
      </c>
      <c r="BP25" s="289">
        <v>6389.2795304488718</v>
      </c>
      <c r="BQ25" s="289">
        <v>6034.9586989793042</v>
      </c>
      <c r="BR25" s="289">
        <v>5735.9762598329226</v>
      </c>
      <c r="BS25" s="113"/>
      <c r="BT25" s="16"/>
      <c r="BU25" s="16"/>
      <c r="BV25" s="16"/>
      <c r="BW25" s="16"/>
      <c r="BX25" s="16"/>
      <c r="BY25" s="16"/>
      <c r="BZ25" s="26"/>
      <c r="CA25" s="16"/>
      <c r="CB25" s="16"/>
      <c r="CC25" s="16"/>
      <c r="CD25" s="16"/>
      <c r="CE25" s="16"/>
      <c r="CF25" s="16"/>
      <c r="CG25" s="20"/>
      <c r="CH25" s="31"/>
      <c r="CI25" s="31"/>
      <c r="CJ25" s="31"/>
      <c r="CK25" s="31"/>
    </row>
    <row r="26" spans="1:89">
      <c r="A26" s="265">
        <v>23</v>
      </c>
      <c r="B26" s="33">
        <v>0</v>
      </c>
      <c r="C26" s="268">
        <v>45992</v>
      </c>
      <c r="D26" s="274" t="s">
        <v>97</v>
      </c>
      <c r="E26" s="15" t="s">
        <v>189</v>
      </c>
      <c r="F26" s="276" t="s">
        <v>190</v>
      </c>
      <c r="G26" s="276" t="s">
        <v>191</v>
      </c>
      <c r="H26" s="278" t="s">
        <v>385</v>
      </c>
      <c r="I26" s="278" t="s">
        <v>102</v>
      </c>
      <c r="J26" s="280">
        <v>0</v>
      </c>
      <c r="K26" s="280">
        <v>0</v>
      </c>
      <c r="L26" s="280">
        <v>0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22"/>
      <c r="AA26" s="35"/>
      <c r="AB26" s="35"/>
      <c r="AC26" s="35"/>
      <c r="AD26" s="23"/>
      <c r="AE26" s="23"/>
      <c r="AF26" s="35"/>
      <c r="AG26" s="23"/>
      <c r="AH26" s="35"/>
      <c r="AI26" s="35"/>
      <c r="AJ26" s="23"/>
      <c r="AK26" s="23"/>
      <c r="AL26" s="23"/>
      <c r="AM26" s="35"/>
      <c r="AN26" s="35"/>
      <c r="AO26" s="21"/>
      <c r="AP26" s="35"/>
      <c r="AQ26" s="35"/>
      <c r="AR26" s="23"/>
      <c r="AS26" s="35"/>
      <c r="AT26" s="35"/>
      <c r="AU26" s="23"/>
      <c r="AV26" s="21"/>
      <c r="AW26" s="35"/>
      <c r="AX26" s="35"/>
      <c r="AY26" s="23"/>
      <c r="AZ26" s="23"/>
      <c r="BA26" s="23"/>
      <c r="BB26" s="35"/>
      <c r="BC26" s="21"/>
      <c r="BD26" s="282">
        <v>2000</v>
      </c>
      <c r="BE26" s="283"/>
      <c r="BF26" s="283"/>
      <c r="BG26" s="287">
        <v>1</v>
      </c>
      <c r="BH26" s="270" t="s">
        <v>115</v>
      </c>
      <c r="BI26" s="271"/>
      <c r="BJ26" s="288">
        <v>14.83765329364163</v>
      </c>
      <c r="BK26" s="288">
        <v>9.8376532936416332</v>
      </c>
      <c r="BL26" s="288">
        <v>5.2506192974343806</v>
      </c>
      <c r="BM26" s="288">
        <v>4.959443463550274</v>
      </c>
      <c r="BN26" s="288">
        <v>1.5774703363452529</v>
      </c>
      <c r="BO26" s="288">
        <v>1.4899908954272629</v>
      </c>
      <c r="BP26" s="289">
        <v>6389.2795304488718</v>
      </c>
      <c r="BQ26" s="289">
        <v>6034.9586989793042</v>
      </c>
      <c r="BR26" s="289">
        <v>5735.9762598329226</v>
      </c>
      <c r="BS26" s="113"/>
      <c r="BT26" s="16"/>
      <c r="BU26" s="16"/>
      <c r="BV26" s="16"/>
      <c r="BW26" s="16"/>
      <c r="BX26" s="16"/>
      <c r="BY26" s="16"/>
      <c r="BZ26" s="26"/>
      <c r="CA26" s="16"/>
      <c r="CB26" s="16"/>
      <c r="CC26" s="16"/>
      <c r="CD26" s="16"/>
      <c r="CE26" s="16"/>
      <c r="CF26" s="16"/>
      <c r="CG26" s="20"/>
      <c r="CH26" s="32"/>
      <c r="CI26" s="32"/>
      <c r="CJ26" s="32"/>
      <c r="CK26" s="32"/>
    </row>
    <row r="27" spans="1:89">
      <c r="A27" s="265">
        <v>24</v>
      </c>
      <c r="B27" s="269">
        <v>1</v>
      </c>
      <c r="C27" s="267">
        <v>45992</v>
      </c>
      <c r="D27" s="274" t="s">
        <v>148</v>
      </c>
      <c r="E27" s="15" t="s">
        <v>98</v>
      </c>
      <c r="F27" s="276" t="s">
        <v>156</v>
      </c>
      <c r="G27" s="276" t="s">
        <v>226</v>
      </c>
      <c r="H27" s="278" t="s">
        <v>386</v>
      </c>
      <c r="I27" s="278" t="s">
        <v>197</v>
      </c>
      <c r="J27" s="280">
        <v>45992</v>
      </c>
      <c r="K27" s="280">
        <v>45992.5</v>
      </c>
      <c r="L27" s="280">
        <v>45995.5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22"/>
      <c r="AA27" s="35"/>
      <c r="AB27" s="35"/>
      <c r="AC27" s="35"/>
      <c r="AD27" s="23"/>
      <c r="AE27" s="23"/>
      <c r="AF27" s="35"/>
      <c r="AG27" s="23"/>
      <c r="AH27" s="35"/>
      <c r="AI27" s="35"/>
      <c r="AJ27" s="23"/>
      <c r="AK27" s="23"/>
      <c r="AL27" s="23"/>
      <c r="AM27" s="35"/>
      <c r="AN27" s="35"/>
      <c r="AO27" s="21"/>
      <c r="AP27" s="35"/>
      <c r="AQ27" s="35"/>
      <c r="AR27" s="23"/>
      <c r="AS27" s="35"/>
      <c r="AT27" s="35"/>
      <c r="AU27" s="23"/>
      <c r="AV27" s="21"/>
      <c r="AW27" s="35"/>
      <c r="AX27" s="35"/>
      <c r="AY27" s="23"/>
      <c r="AZ27" s="23"/>
      <c r="BA27" s="23"/>
      <c r="BB27" s="35"/>
      <c r="BC27" s="21"/>
      <c r="BD27" s="282">
        <v>75000</v>
      </c>
      <c r="BE27" s="284">
        <v>45992</v>
      </c>
      <c r="BF27" s="284">
        <v>46001</v>
      </c>
      <c r="BG27" s="287">
        <v>0.8</v>
      </c>
      <c r="BH27" s="270" t="s">
        <v>115</v>
      </c>
      <c r="BI27" s="271"/>
      <c r="BJ27" s="288">
        <v>13.87401796226249</v>
      </c>
      <c r="BK27" s="288">
        <v>7.5832648663301931</v>
      </c>
      <c r="BL27" s="288">
        <v>5.8651146899509801</v>
      </c>
      <c r="BM27" s="288">
        <v>5.4566631555483127</v>
      </c>
      <c r="BN27" s="288">
        <v>1.214719486214324</v>
      </c>
      <c r="BO27" s="288">
        <v>1.131744430737688</v>
      </c>
      <c r="BP27" s="289">
        <v>6646.6148153539871</v>
      </c>
      <c r="BQ27" s="289">
        <v>6199.0171010394588</v>
      </c>
      <c r="BR27" s="289">
        <v>5889.2150301820884</v>
      </c>
      <c r="BS27" s="113"/>
      <c r="BT27" s="16"/>
      <c r="BU27" s="16"/>
      <c r="BV27" s="16"/>
      <c r="BW27" s="16"/>
      <c r="BX27" s="16"/>
      <c r="BY27" s="16"/>
      <c r="BZ27" s="26"/>
      <c r="CA27" s="16"/>
      <c r="CB27" s="16"/>
      <c r="CC27" s="16"/>
      <c r="CD27" s="16"/>
      <c r="CE27" s="16"/>
      <c r="CF27" s="16"/>
      <c r="CG27" s="20"/>
      <c r="CH27" s="31"/>
      <c r="CI27" s="31"/>
      <c r="CJ27" s="31"/>
      <c r="CK27" s="31"/>
    </row>
    <row r="28" spans="1:89">
      <c r="A28" s="265">
        <v>25</v>
      </c>
      <c r="B28" s="269">
        <v>2</v>
      </c>
      <c r="C28" s="267">
        <v>45992</v>
      </c>
      <c r="D28" s="274" t="s">
        <v>133</v>
      </c>
      <c r="E28" s="162" t="s">
        <v>98</v>
      </c>
      <c r="F28" s="276" t="s">
        <v>141</v>
      </c>
      <c r="G28" s="276" t="s">
        <v>296</v>
      </c>
      <c r="H28" s="278" t="s">
        <v>387</v>
      </c>
      <c r="I28" s="278" t="s">
        <v>197</v>
      </c>
      <c r="J28" s="280">
        <v>45994</v>
      </c>
      <c r="K28" s="280">
        <v>45995.5</v>
      </c>
      <c r="L28" s="280">
        <v>45998.3</v>
      </c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5"/>
      <c r="AA28" s="164"/>
      <c r="AB28" s="164"/>
      <c r="AC28" s="164"/>
      <c r="AD28" s="165"/>
      <c r="AE28" s="165"/>
      <c r="AF28" s="164"/>
      <c r="AG28" s="165"/>
      <c r="AH28" s="164"/>
      <c r="AI28" s="164"/>
      <c r="AJ28" s="165"/>
      <c r="AK28" s="165"/>
      <c r="AL28" s="165"/>
      <c r="AM28" s="164"/>
      <c r="AN28" s="164"/>
      <c r="AO28" s="155"/>
      <c r="AP28" s="164"/>
      <c r="AQ28" s="164"/>
      <c r="AR28" s="165"/>
      <c r="AS28" s="164"/>
      <c r="AT28" s="164"/>
      <c r="AU28" s="165"/>
      <c r="AV28" s="155"/>
      <c r="AW28" s="164"/>
      <c r="AX28" s="164"/>
      <c r="AY28" s="165"/>
      <c r="AZ28" s="165"/>
      <c r="BA28" s="165"/>
      <c r="BB28" s="164"/>
      <c r="BC28" s="155"/>
      <c r="BD28" s="282">
        <v>70000</v>
      </c>
      <c r="BE28" s="284">
        <v>45994</v>
      </c>
      <c r="BF28" s="284">
        <v>46003</v>
      </c>
      <c r="BG28" s="287">
        <v>0.6785714285714286</v>
      </c>
      <c r="BH28" s="270" t="s">
        <v>115</v>
      </c>
      <c r="BI28" s="271"/>
      <c r="BJ28" s="288">
        <v>21.023738425168538</v>
      </c>
      <c r="BK28" s="288">
        <v>13.45837989726399</v>
      </c>
      <c r="BL28" s="288">
        <v>5.4932050618939083</v>
      </c>
      <c r="BM28" s="288">
        <v>4.9290237413289049</v>
      </c>
      <c r="BN28" s="288">
        <v>1.096311510454117</v>
      </c>
      <c r="BO28" s="288">
        <v>1.026144983690223</v>
      </c>
      <c r="BP28" s="289">
        <v>6036.1533813983924</v>
      </c>
      <c r="BQ28" s="289">
        <v>5532.2005514602897</v>
      </c>
      <c r="BR28" s="289">
        <v>5207.3724420308636</v>
      </c>
      <c r="BS28" s="189"/>
      <c r="BT28" s="184"/>
      <c r="BU28" s="186"/>
      <c r="BV28" s="186"/>
      <c r="BW28" s="186"/>
      <c r="BX28" s="186"/>
      <c r="BY28" s="186"/>
      <c r="BZ28" s="187"/>
      <c r="CA28" s="176"/>
      <c r="CB28" s="186"/>
      <c r="CC28" s="186"/>
      <c r="CD28" s="186"/>
      <c r="CE28" s="186"/>
      <c r="CF28" s="186"/>
      <c r="CG28" s="160"/>
      <c r="CH28" s="186"/>
      <c r="CI28" s="186"/>
      <c r="CJ28" s="186"/>
      <c r="CK28" s="186"/>
    </row>
    <row r="29" spans="1:89">
      <c r="A29" s="265">
        <v>26</v>
      </c>
      <c r="B29" s="269">
        <v>3</v>
      </c>
      <c r="C29" s="268">
        <v>45992</v>
      </c>
      <c r="D29" s="274" t="s">
        <v>133</v>
      </c>
      <c r="E29" s="162" t="s">
        <v>98</v>
      </c>
      <c r="F29" s="276" t="s">
        <v>141</v>
      </c>
      <c r="G29" s="276" t="s">
        <v>421</v>
      </c>
      <c r="H29" s="278" t="s">
        <v>422</v>
      </c>
      <c r="I29" s="278" t="s">
        <v>197</v>
      </c>
      <c r="J29" s="280">
        <v>45996</v>
      </c>
      <c r="K29" s="280">
        <v>45997.5</v>
      </c>
      <c r="L29" s="280">
        <v>46000.3</v>
      </c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5"/>
      <c r="AA29" s="164"/>
      <c r="AB29" s="164"/>
      <c r="AC29" s="164"/>
      <c r="AD29" s="165"/>
      <c r="AE29" s="165"/>
      <c r="AF29" s="164"/>
      <c r="AG29" s="165"/>
      <c r="AH29" s="164"/>
      <c r="AI29" s="164"/>
      <c r="AJ29" s="165"/>
      <c r="AK29" s="165"/>
      <c r="AL29" s="165"/>
      <c r="AM29" s="164"/>
      <c r="AN29" s="164"/>
      <c r="AO29" s="155"/>
      <c r="AP29" s="164"/>
      <c r="AQ29" s="164"/>
      <c r="AR29" s="165"/>
      <c r="AS29" s="164"/>
      <c r="AT29" s="164"/>
      <c r="AU29" s="165"/>
      <c r="AV29" s="155"/>
      <c r="AW29" s="164"/>
      <c r="AX29" s="164"/>
      <c r="AY29" s="165"/>
      <c r="AZ29" s="165"/>
      <c r="BA29" s="165"/>
      <c r="BB29" s="164"/>
      <c r="BC29" s="155"/>
      <c r="BD29" s="282">
        <v>70000</v>
      </c>
      <c r="BE29" s="284">
        <v>45996</v>
      </c>
      <c r="BF29" s="284">
        <v>46005</v>
      </c>
      <c r="BG29" s="287">
        <v>0.6785714285714286</v>
      </c>
      <c r="BH29" s="270" t="s">
        <v>115</v>
      </c>
      <c r="BI29" s="271"/>
      <c r="BJ29" s="288">
        <v>17.69702392424162</v>
      </c>
      <c r="BK29" s="288">
        <v>11.052585930698759</v>
      </c>
      <c r="BL29" s="288">
        <v>5.3269903542056936</v>
      </c>
      <c r="BM29" s="288">
        <v>4.9168479496071864</v>
      </c>
      <c r="BN29" s="288">
        <v>1.339029798327753</v>
      </c>
      <c r="BO29" s="288">
        <v>1.2512895033832729</v>
      </c>
      <c r="BP29" s="289">
        <v>6327.3655461454482</v>
      </c>
      <c r="BQ29" s="289">
        <v>5858.9405961881766</v>
      </c>
      <c r="BR29" s="289">
        <v>5538.6399432773014</v>
      </c>
      <c r="BS29" s="189"/>
      <c r="BT29" s="184"/>
      <c r="BU29" s="186"/>
      <c r="BV29" s="186"/>
      <c r="BW29" s="186"/>
      <c r="BX29" s="186"/>
      <c r="BY29" s="186"/>
      <c r="BZ29" s="187"/>
      <c r="CA29" s="176"/>
      <c r="CB29" s="186"/>
      <c r="CC29" s="186"/>
      <c r="CD29" s="186"/>
      <c r="CE29" s="186"/>
      <c r="CF29" s="186"/>
      <c r="CG29" s="160"/>
      <c r="CH29" s="186"/>
      <c r="CI29" s="186"/>
      <c r="CJ29" s="186"/>
      <c r="CK29" s="186"/>
    </row>
    <row r="30" spans="1:89">
      <c r="A30" s="265">
        <v>27</v>
      </c>
      <c r="B30" s="269">
        <v>4</v>
      </c>
      <c r="C30" s="267">
        <v>45992</v>
      </c>
      <c r="D30" s="274" t="s">
        <v>148</v>
      </c>
      <c r="E30" s="197" t="s">
        <v>98</v>
      </c>
      <c r="F30" s="276" t="s">
        <v>156</v>
      </c>
      <c r="G30" s="276" t="s">
        <v>389</v>
      </c>
      <c r="H30" s="278" t="s">
        <v>390</v>
      </c>
      <c r="I30" s="278" t="s">
        <v>197</v>
      </c>
      <c r="J30" s="280">
        <v>45997</v>
      </c>
      <c r="K30" s="280">
        <v>45999.5</v>
      </c>
      <c r="L30" s="280">
        <v>46001.3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2"/>
      <c r="AA30" s="201"/>
      <c r="AB30" s="201"/>
      <c r="AC30" s="201"/>
      <c r="AD30" s="202"/>
      <c r="AE30" s="202"/>
      <c r="AF30" s="201"/>
      <c r="AG30" s="202"/>
      <c r="AH30" s="201"/>
      <c r="AI30" s="201"/>
      <c r="AJ30" s="202"/>
      <c r="AK30" s="202"/>
      <c r="AL30" s="202"/>
      <c r="AM30" s="201"/>
      <c r="AN30" s="201"/>
      <c r="AO30" s="203"/>
      <c r="AP30" s="201"/>
      <c r="AQ30" s="201"/>
      <c r="AR30" s="202"/>
      <c r="AS30" s="201"/>
      <c r="AT30" s="201"/>
      <c r="AU30" s="202"/>
      <c r="AV30" s="203"/>
      <c r="AW30" s="201"/>
      <c r="AX30" s="201"/>
      <c r="AY30" s="202"/>
      <c r="AZ30" s="202"/>
      <c r="BA30" s="202"/>
      <c r="BB30" s="201"/>
      <c r="BC30" s="203"/>
      <c r="BD30" s="282">
        <v>18000</v>
      </c>
      <c r="BE30" s="284">
        <v>45997</v>
      </c>
      <c r="BF30" s="284">
        <v>46006</v>
      </c>
      <c r="BG30" s="287">
        <v>1</v>
      </c>
      <c r="BH30" s="270" t="s">
        <v>115</v>
      </c>
      <c r="BI30" s="271"/>
      <c r="BJ30" s="288">
        <v>12.063739405919319</v>
      </c>
      <c r="BK30" s="288">
        <v>6.9774973521577106</v>
      </c>
      <c r="BL30" s="288">
        <v>4.9952008502736494</v>
      </c>
      <c r="BM30" s="288">
        <v>4.7192113186379743</v>
      </c>
      <c r="BN30" s="288">
        <v>0.84527400425225008</v>
      </c>
      <c r="BO30" s="288">
        <v>0.79745350242288038</v>
      </c>
      <c r="BP30" s="289">
        <v>6870.0942789393957</v>
      </c>
      <c r="BQ30" s="289">
        <v>6494.6707417050911</v>
      </c>
      <c r="BR30" s="289">
        <v>6195.6530831835507</v>
      </c>
      <c r="BS30" s="195"/>
      <c r="BT30" s="210"/>
      <c r="BU30" s="211"/>
      <c r="BV30" s="211"/>
      <c r="BW30" s="211"/>
      <c r="BX30" s="211"/>
      <c r="BY30" s="211"/>
      <c r="BZ30" s="212"/>
      <c r="CA30" s="213"/>
      <c r="CB30" s="211"/>
      <c r="CC30" s="211"/>
      <c r="CD30" s="211"/>
      <c r="CE30" s="211"/>
      <c r="CF30" s="211"/>
      <c r="CG30" s="214"/>
      <c r="CH30" s="211"/>
      <c r="CI30" s="211"/>
      <c r="CJ30" s="211"/>
      <c r="CK30" s="211"/>
    </row>
    <row r="31" spans="1:89">
      <c r="A31" s="265">
        <v>28</v>
      </c>
      <c r="B31" s="269">
        <v>5</v>
      </c>
      <c r="C31" s="267">
        <v>45992</v>
      </c>
      <c r="D31" s="274" t="s">
        <v>133</v>
      </c>
      <c r="E31" s="197" t="s">
        <v>98</v>
      </c>
      <c r="F31" s="276" t="s">
        <v>141</v>
      </c>
      <c r="G31" s="276" t="s">
        <v>235</v>
      </c>
      <c r="H31" s="278" t="s">
        <v>391</v>
      </c>
      <c r="I31" s="278" t="s">
        <v>197</v>
      </c>
      <c r="J31" s="280">
        <v>45999</v>
      </c>
      <c r="K31" s="280">
        <v>46001.5</v>
      </c>
      <c r="L31" s="280">
        <v>46004.3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2"/>
      <c r="AA31" s="201"/>
      <c r="AB31" s="201"/>
      <c r="AC31" s="201"/>
      <c r="AD31" s="202"/>
      <c r="AE31" s="202"/>
      <c r="AF31" s="201"/>
      <c r="AG31" s="202"/>
      <c r="AH31" s="201"/>
      <c r="AI31" s="201"/>
      <c r="AJ31" s="202"/>
      <c r="AK31" s="202"/>
      <c r="AL31" s="202"/>
      <c r="AM31" s="201"/>
      <c r="AN31" s="201"/>
      <c r="AO31" s="203"/>
      <c r="AP31" s="201"/>
      <c r="AQ31" s="201"/>
      <c r="AR31" s="202"/>
      <c r="AS31" s="201"/>
      <c r="AT31" s="201"/>
      <c r="AU31" s="202"/>
      <c r="AV31" s="203"/>
      <c r="AW31" s="201"/>
      <c r="AX31" s="201"/>
      <c r="AY31" s="202"/>
      <c r="AZ31" s="202"/>
      <c r="BA31" s="202"/>
      <c r="BB31" s="201"/>
      <c r="BC31" s="203"/>
      <c r="BD31" s="282">
        <v>70000</v>
      </c>
      <c r="BE31" s="284">
        <v>45999</v>
      </c>
      <c r="BF31" s="284">
        <v>46008</v>
      </c>
      <c r="BG31" s="287">
        <v>0.6785714285714286</v>
      </c>
      <c r="BH31" s="270" t="s">
        <v>115</v>
      </c>
      <c r="BI31" s="271"/>
      <c r="BJ31" s="288">
        <v>22.426912867600329</v>
      </c>
      <c r="BK31" s="288">
        <v>12.95286875665194</v>
      </c>
      <c r="BL31" s="288">
        <v>4.4598890001471956</v>
      </c>
      <c r="BM31" s="288">
        <v>3.8314839024885301</v>
      </c>
      <c r="BN31" s="288">
        <v>0.49918857013279438</v>
      </c>
      <c r="BO31" s="288">
        <v>0.4586135623459216</v>
      </c>
      <c r="BP31" s="289">
        <v>6176.5731701411332</v>
      </c>
      <c r="BQ31" s="289">
        <v>5544.4294223292154</v>
      </c>
      <c r="BR31" s="289">
        <v>5214.8826344928493</v>
      </c>
      <c r="BS31" s="195"/>
      <c r="BT31" s="210"/>
      <c r="BU31" s="211"/>
      <c r="BV31" s="211"/>
      <c r="BW31" s="211"/>
      <c r="BX31" s="211"/>
      <c r="BY31" s="211"/>
      <c r="BZ31" s="212"/>
      <c r="CA31" s="213"/>
      <c r="CB31" s="211"/>
      <c r="CC31" s="211"/>
      <c r="CD31" s="211"/>
      <c r="CE31" s="211"/>
      <c r="CF31" s="211"/>
      <c r="CG31" s="214"/>
      <c r="CH31" s="211"/>
      <c r="CI31" s="211"/>
      <c r="CJ31" s="211"/>
      <c r="CK31" s="211"/>
    </row>
    <row r="32" spans="1:89">
      <c r="A32" s="265">
        <v>29</v>
      </c>
      <c r="B32" s="269">
        <v>6</v>
      </c>
      <c r="C32" s="267">
        <v>45992</v>
      </c>
      <c r="D32" s="274" t="s">
        <v>133</v>
      </c>
      <c r="E32" s="197" t="s">
        <v>98</v>
      </c>
      <c r="F32" s="276" t="s">
        <v>156</v>
      </c>
      <c r="G32" s="276" t="s">
        <v>239</v>
      </c>
      <c r="H32" s="278" t="s">
        <v>392</v>
      </c>
      <c r="I32" s="278" t="s">
        <v>197</v>
      </c>
      <c r="J32" s="280">
        <v>46001</v>
      </c>
      <c r="K32" s="280">
        <v>46003.5</v>
      </c>
      <c r="L32" s="280">
        <v>46006.5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2"/>
      <c r="AA32" s="201"/>
      <c r="AB32" s="201"/>
      <c r="AC32" s="201"/>
      <c r="AD32" s="202"/>
      <c r="AE32" s="202"/>
      <c r="AF32" s="201"/>
      <c r="AG32" s="202"/>
      <c r="AH32" s="201"/>
      <c r="AI32" s="201"/>
      <c r="AJ32" s="202"/>
      <c r="AK32" s="202"/>
      <c r="AL32" s="202"/>
      <c r="AM32" s="201"/>
      <c r="AN32" s="201"/>
      <c r="AO32" s="203"/>
      <c r="AP32" s="201"/>
      <c r="AQ32" s="201"/>
      <c r="AR32" s="202"/>
      <c r="AS32" s="201"/>
      <c r="AT32" s="201"/>
      <c r="AU32" s="202"/>
      <c r="AV32" s="203"/>
      <c r="AW32" s="201"/>
      <c r="AX32" s="201"/>
      <c r="AY32" s="202"/>
      <c r="AZ32" s="202"/>
      <c r="BA32" s="202"/>
      <c r="BB32" s="201"/>
      <c r="BC32" s="203"/>
      <c r="BD32" s="282">
        <v>75000</v>
      </c>
      <c r="BE32" s="284">
        <v>46001</v>
      </c>
      <c r="BF32" s="284">
        <v>46010</v>
      </c>
      <c r="BG32" s="287">
        <v>0.72933333333333328</v>
      </c>
      <c r="BH32" s="270" t="s">
        <v>115</v>
      </c>
      <c r="BI32" s="271"/>
      <c r="BJ32" s="288">
        <v>21.106592916915339</v>
      </c>
      <c r="BK32" s="288">
        <v>12.540103474934289</v>
      </c>
      <c r="BL32" s="288">
        <v>5.5831309605156401</v>
      </c>
      <c r="BM32" s="288">
        <v>4.9537058037828272</v>
      </c>
      <c r="BN32" s="288">
        <v>1.2697178568512411</v>
      </c>
      <c r="BO32" s="288">
        <v>1.181256381362416</v>
      </c>
      <c r="BP32" s="289">
        <v>6071.0553691763243</v>
      </c>
      <c r="BQ32" s="289">
        <v>5507.6201177853764</v>
      </c>
      <c r="BR32" s="289">
        <v>5181.566701837959</v>
      </c>
      <c r="BS32" s="195"/>
      <c r="BT32" s="210"/>
      <c r="BU32" s="211"/>
      <c r="BV32" s="211"/>
      <c r="BW32" s="211"/>
      <c r="BX32" s="211"/>
      <c r="BY32" s="211"/>
      <c r="BZ32" s="212"/>
      <c r="CA32" s="213"/>
      <c r="CB32" s="211"/>
      <c r="CC32" s="211"/>
      <c r="CD32" s="211"/>
      <c r="CE32" s="211"/>
      <c r="CF32" s="211"/>
      <c r="CG32" s="214"/>
      <c r="CH32" s="211"/>
      <c r="CI32" s="211"/>
      <c r="CJ32" s="211"/>
      <c r="CK32" s="211"/>
    </row>
    <row r="33" spans="1:89">
      <c r="A33" s="265">
        <v>30</v>
      </c>
      <c r="B33" s="269">
        <v>7</v>
      </c>
      <c r="C33" s="268">
        <v>45992</v>
      </c>
      <c r="D33" s="274" t="s">
        <v>148</v>
      </c>
      <c r="E33" s="197" t="s">
        <v>98</v>
      </c>
      <c r="F33" s="276" t="s">
        <v>141</v>
      </c>
      <c r="G33" s="276" t="s">
        <v>294</v>
      </c>
      <c r="H33" s="278" t="s">
        <v>393</v>
      </c>
      <c r="I33" s="278" t="s">
        <v>197</v>
      </c>
      <c r="J33" s="280">
        <v>46002</v>
      </c>
      <c r="K33" s="280">
        <v>46004.5</v>
      </c>
      <c r="L33" s="280">
        <v>46006.9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2"/>
      <c r="AA33" s="201"/>
      <c r="AB33" s="201"/>
      <c r="AC33" s="201"/>
      <c r="AD33" s="202"/>
      <c r="AE33" s="202"/>
      <c r="AF33" s="201"/>
      <c r="AG33" s="202"/>
      <c r="AH33" s="201"/>
      <c r="AI33" s="201"/>
      <c r="AJ33" s="202"/>
      <c r="AK33" s="202"/>
      <c r="AL33" s="202"/>
      <c r="AM33" s="201"/>
      <c r="AN33" s="201"/>
      <c r="AO33" s="203"/>
      <c r="AP33" s="201"/>
      <c r="AQ33" s="201"/>
      <c r="AR33" s="202"/>
      <c r="AS33" s="201"/>
      <c r="AT33" s="201"/>
      <c r="AU33" s="202"/>
      <c r="AV33" s="203"/>
      <c r="AW33" s="201"/>
      <c r="AX33" s="201"/>
      <c r="AY33" s="202"/>
      <c r="AZ33" s="202"/>
      <c r="BA33" s="202"/>
      <c r="BB33" s="201"/>
      <c r="BC33" s="203"/>
      <c r="BD33" s="282">
        <v>60000</v>
      </c>
      <c r="BE33" s="284">
        <v>46002</v>
      </c>
      <c r="BF33" s="284">
        <v>46011</v>
      </c>
      <c r="BG33" s="287">
        <v>0.75</v>
      </c>
      <c r="BH33" s="270" t="s">
        <v>115</v>
      </c>
      <c r="BI33" s="271"/>
      <c r="BJ33" s="288">
        <v>12.612174074350699</v>
      </c>
      <c r="BK33" s="288">
        <v>7.3694799813089951</v>
      </c>
      <c r="BL33" s="288">
        <v>4.9446158132794782</v>
      </c>
      <c r="BM33" s="288">
        <v>4.6592766950098543</v>
      </c>
      <c r="BN33" s="288">
        <v>0.74438688780266016</v>
      </c>
      <c r="BO33" s="288">
        <v>0.70194603150336454</v>
      </c>
      <c r="BP33" s="289">
        <v>6829.4200273276329</v>
      </c>
      <c r="BQ33" s="289">
        <v>6443.2466992428917</v>
      </c>
      <c r="BR33" s="289">
        <v>6146.3528159219613</v>
      </c>
      <c r="BS33" s="195"/>
      <c r="BT33" s="210"/>
      <c r="BU33" s="211"/>
      <c r="BV33" s="211"/>
      <c r="BW33" s="211"/>
      <c r="BX33" s="211"/>
      <c r="BY33" s="211"/>
      <c r="BZ33" s="212"/>
      <c r="CA33" s="213"/>
      <c r="CB33" s="211"/>
      <c r="CC33" s="211"/>
      <c r="CD33" s="211"/>
      <c r="CE33" s="211"/>
      <c r="CF33" s="211"/>
      <c r="CG33" s="214"/>
      <c r="CH33" s="211"/>
      <c r="CI33" s="211"/>
      <c r="CJ33" s="211"/>
      <c r="CK33" s="211"/>
    </row>
    <row r="34" spans="1:89">
      <c r="A34" s="265">
        <v>31</v>
      </c>
      <c r="B34" s="269">
        <v>8</v>
      </c>
      <c r="C34" s="267">
        <v>45992</v>
      </c>
      <c r="D34" s="274" t="s">
        <v>133</v>
      </c>
      <c r="E34" s="197" t="s">
        <v>98</v>
      </c>
      <c r="F34" s="276" t="s">
        <v>156</v>
      </c>
      <c r="G34" s="276" t="s">
        <v>229</v>
      </c>
      <c r="H34" s="278" t="s">
        <v>394</v>
      </c>
      <c r="I34" s="278" t="s">
        <v>197</v>
      </c>
      <c r="J34" s="280">
        <v>46003</v>
      </c>
      <c r="K34" s="280">
        <v>46005.5</v>
      </c>
      <c r="L34" s="280">
        <v>46008.7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2"/>
      <c r="AA34" s="201"/>
      <c r="AB34" s="201"/>
      <c r="AC34" s="201"/>
      <c r="AD34" s="202"/>
      <c r="AE34" s="202"/>
      <c r="AF34" s="201"/>
      <c r="AG34" s="202"/>
      <c r="AH34" s="201"/>
      <c r="AI34" s="201"/>
      <c r="AJ34" s="202"/>
      <c r="AK34" s="202"/>
      <c r="AL34" s="202"/>
      <c r="AM34" s="201"/>
      <c r="AN34" s="201"/>
      <c r="AO34" s="203"/>
      <c r="AP34" s="201"/>
      <c r="AQ34" s="201"/>
      <c r="AR34" s="202"/>
      <c r="AS34" s="201"/>
      <c r="AT34" s="201"/>
      <c r="AU34" s="202"/>
      <c r="AV34" s="203"/>
      <c r="AW34" s="201"/>
      <c r="AX34" s="201"/>
      <c r="AY34" s="202"/>
      <c r="AZ34" s="202"/>
      <c r="BA34" s="202"/>
      <c r="BB34" s="201"/>
      <c r="BC34" s="203"/>
      <c r="BD34" s="282">
        <v>80000</v>
      </c>
      <c r="BE34" s="284">
        <v>46003</v>
      </c>
      <c r="BF34" s="284">
        <v>46012</v>
      </c>
      <c r="BG34" s="287">
        <v>0.65249999999999997</v>
      </c>
      <c r="BH34" s="270" t="s">
        <v>115</v>
      </c>
      <c r="BI34" s="271"/>
      <c r="BJ34" s="288">
        <v>17.964352038938191</v>
      </c>
      <c r="BK34" s="288">
        <v>10.87549206948127</v>
      </c>
      <c r="BL34" s="288">
        <v>3.841616500498533</v>
      </c>
      <c r="BM34" s="288">
        <v>3.5060733140834071</v>
      </c>
      <c r="BN34" s="288">
        <v>0.57067140515729231</v>
      </c>
      <c r="BO34" s="288">
        <v>0.53432963368210951</v>
      </c>
      <c r="BP34" s="289">
        <v>6446.8039959052503</v>
      </c>
      <c r="BQ34" s="289">
        <v>5952.7628287219932</v>
      </c>
      <c r="BR34" s="289">
        <v>5633.5816735264771</v>
      </c>
      <c r="BS34" s="195"/>
      <c r="BT34" s="210"/>
      <c r="BU34" s="211"/>
      <c r="BV34" s="211"/>
      <c r="BW34" s="211"/>
      <c r="BX34" s="211"/>
      <c r="BY34" s="211"/>
      <c r="BZ34" s="212"/>
      <c r="CA34" s="213"/>
      <c r="CB34" s="211"/>
      <c r="CC34" s="211"/>
      <c r="CD34" s="211"/>
      <c r="CE34" s="211"/>
      <c r="CF34" s="211"/>
      <c r="CG34" s="214"/>
      <c r="CH34" s="211"/>
      <c r="CI34" s="211"/>
      <c r="CJ34" s="211"/>
      <c r="CK34" s="211"/>
    </row>
    <row r="35" spans="1:89">
      <c r="A35" s="265">
        <v>32</v>
      </c>
      <c r="B35" s="269">
        <v>9</v>
      </c>
      <c r="C35" s="268">
        <v>45992</v>
      </c>
      <c r="D35" s="274" t="s">
        <v>133</v>
      </c>
      <c r="E35" s="197" t="s">
        <v>98</v>
      </c>
      <c r="F35" s="276" t="s">
        <v>141</v>
      </c>
      <c r="G35" s="276" t="s">
        <v>231</v>
      </c>
      <c r="H35" s="278" t="s">
        <v>395</v>
      </c>
      <c r="I35" s="278" t="s">
        <v>197</v>
      </c>
      <c r="J35" s="280">
        <v>46005</v>
      </c>
      <c r="K35" s="280">
        <v>46007.5</v>
      </c>
      <c r="L35" s="280">
        <v>46010.5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2"/>
      <c r="AA35" s="201"/>
      <c r="AB35" s="201"/>
      <c r="AC35" s="201"/>
      <c r="AD35" s="202"/>
      <c r="AE35" s="202"/>
      <c r="AF35" s="201"/>
      <c r="AG35" s="202"/>
      <c r="AH35" s="201"/>
      <c r="AI35" s="201"/>
      <c r="AJ35" s="202"/>
      <c r="AK35" s="202"/>
      <c r="AL35" s="202"/>
      <c r="AM35" s="201"/>
      <c r="AN35" s="201"/>
      <c r="AO35" s="203"/>
      <c r="AP35" s="201"/>
      <c r="AQ35" s="201"/>
      <c r="AR35" s="202"/>
      <c r="AS35" s="201"/>
      <c r="AT35" s="201"/>
      <c r="AU35" s="202"/>
      <c r="AV35" s="203"/>
      <c r="AW35" s="201"/>
      <c r="AX35" s="201"/>
      <c r="AY35" s="202"/>
      <c r="AZ35" s="202"/>
      <c r="BA35" s="202"/>
      <c r="BB35" s="201"/>
      <c r="BC35" s="203"/>
      <c r="BD35" s="282">
        <v>75000</v>
      </c>
      <c r="BE35" s="284">
        <v>46005</v>
      </c>
      <c r="BF35" s="284">
        <v>46014</v>
      </c>
      <c r="BG35" s="287">
        <v>0.72933333333333328</v>
      </c>
      <c r="BH35" s="270" t="s">
        <v>115</v>
      </c>
      <c r="BI35" s="271"/>
      <c r="BJ35" s="288">
        <v>21.308957590326759</v>
      </c>
      <c r="BK35" s="288">
        <v>13.537814713643471</v>
      </c>
      <c r="BL35" s="288">
        <v>4.7743055216415211</v>
      </c>
      <c r="BM35" s="288">
        <v>4.2186422544804483</v>
      </c>
      <c r="BN35" s="288">
        <v>0.64821437085818268</v>
      </c>
      <c r="BO35" s="288">
        <v>0.60068770347161926</v>
      </c>
      <c r="BP35" s="289">
        <v>6091.3710420923353</v>
      </c>
      <c r="BQ35" s="289">
        <v>5573.820245633472</v>
      </c>
      <c r="BR35" s="289">
        <v>5250.6131039925222</v>
      </c>
      <c r="BS35" s="239"/>
      <c r="BT35" s="210"/>
      <c r="BU35" s="211"/>
      <c r="BV35" s="211"/>
      <c r="BW35" s="211"/>
      <c r="BX35" s="211"/>
      <c r="BY35" s="211"/>
      <c r="BZ35" s="212"/>
      <c r="CA35" s="213"/>
      <c r="CB35" s="211"/>
      <c r="CC35" s="211"/>
      <c r="CD35" s="211"/>
      <c r="CE35" s="211"/>
      <c r="CF35" s="211"/>
      <c r="CG35" s="214"/>
      <c r="CH35" s="211"/>
      <c r="CI35" s="211"/>
      <c r="CJ35" s="211"/>
      <c r="CK35" s="211"/>
    </row>
    <row r="36" spans="1:89">
      <c r="A36" s="265">
        <v>33</v>
      </c>
      <c r="B36" s="269">
        <v>10</v>
      </c>
      <c r="C36" s="268">
        <v>45992</v>
      </c>
      <c r="D36" s="274" t="s">
        <v>148</v>
      </c>
      <c r="E36" s="197" t="s">
        <v>98</v>
      </c>
      <c r="F36" s="276" t="s">
        <v>141</v>
      </c>
      <c r="G36" s="276" t="s">
        <v>243</v>
      </c>
      <c r="H36" s="278" t="s">
        <v>396</v>
      </c>
      <c r="I36" s="278" t="s">
        <v>197</v>
      </c>
      <c r="J36" s="280">
        <v>46007</v>
      </c>
      <c r="K36" s="280">
        <v>46009.5</v>
      </c>
      <c r="L36" s="280">
        <v>46012.78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2"/>
      <c r="AA36" s="201"/>
      <c r="AB36" s="201"/>
      <c r="AC36" s="201"/>
      <c r="AD36" s="202"/>
      <c r="AE36" s="202"/>
      <c r="AF36" s="201"/>
      <c r="AG36" s="202"/>
      <c r="AH36" s="201"/>
      <c r="AI36" s="201"/>
      <c r="AJ36" s="202"/>
      <c r="AK36" s="202"/>
      <c r="AL36" s="202"/>
      <c r="AM36" s="201"/>
      <c r="AN36" s="201"/>
      <c r="AO36" s="203"/>
      <c r="AP36" s="201"/>
      <c r="AQ36" s="201"/>
      <c r="AR36" s="202"/>
      <c r="AS36" s="201"/>
      <c r="AT36" s="201"/>
      <c r="AU36" s="202"/>
      <c r="AV36" s="203"/>
      <c r="AW36" s="201"/>
      <c r="AX36" s="201"/>
      <c r="AY36" s="202"/>
      <c r="AZ36" s="202"/>
      <c r="BA36" s="202"/>
      <c r="BB36" s="201"/>
      <c r="BC36" s="203"/>
      <c r="BD36" s="282">
        <v>82000</v>
      </c>
      <c r="BE36" s="284">
        <v>46007</v>
      </c>
      <c r="BF36" s="284">
        <v>46016</v>
      </c>
      <c r="BG36" s="287">
        <v>0.72560975609756095</v>
      </c>
      <c r="BH36" s="270" t="s">
        <v>115</v>
      </c>
      <c r="BI36" s="271"/>
      <c r="BJ36" s="288">
        <v>12.52763054683644</v>
      </c>
      <c r="BK36" s="288">
        <v>6.9953633007193563</v>
      </c>
      <c r="BL36" s="288">
        <v>5.3464111181721297</v>
      </c>
      <c r="BM36" s="288">
        <v>5.0216700589031236</v>
      </c>
      <c r="BN36" s="288">
        <v>0.88018684855818585</v>
      </c>
      <c r="BO36" s="288">
        <v>0.82738252421538472</v>
      </c>
      <c r="BP36" s="289">
        <v>6831.1401449160176</v>
      </c>
      <c r="BQ36" s="289">
        <v>6425.246192792627</v>
      </c>
      <c r="BR36" s="289">
        <v>6128.8774143499222</v>
      </c>
      <c r="BS36" s="239"/>
      <c r="BT36" s="210"/>
      <c r="BU36" s="211"/>
      <c r="BV36" s="211"/>
      <c r="BW36" s="211"/>
      <c r="BX36" s="211"/>
      <c r="BY36" s="211"/>
      <c r="BZ36" s="212"/>
      <c r="CA36" s="213"/>
      <c r="CB36" s="211"/>
      <c r="CC36" s="211"/>
      <c r="CD36" s="211"/>
      <c r="CE36" s="211"/>
      <c r="CF36" s="211"/>
      <c r="CG36" s="214"/>
      <c r="CH36" s="211"/>
      <c r="CI36" s="211"/>
      <c r="CJ36" s="211"/>
      <c r="CK36" s="211"/>
    </row>
    <row r="37" spans="1:89">
      <c r="A37" s="265">
        <v>34</v>
      </c>
      <c r="B37" s="269">
        <v>11</v>
      </c>
      <c r="C37" s="268">
        <v>45992</v>
      </c>
      <c r="D37" s="274" t="s">
        <v>133</v>
      </c>
      <c r="E37" s="197" t="s">
        <v>98</v>
      </c>
      <c r="F37" s="276" t="s">
        <v>156</v>
      </c>
      <c r="G37" s="276" t="s">
        <v>235</v>
      </c>
      <c r="H37" s="278" t="s">
        <v>397</v>
      </c>
      <c r="I37" s="278" t="s">
        <v>197</v>
      </c>
      <c r="J37" s="280">
        <v>46008</v>
      </c>
      <c r="K37" s="280">
        <v>46010.5</v>
      </c>
      <c r="L37" s="280">
        <v>46013.3</v>
      </c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2"/>
      <c r="AA37" s="201"/>
      <c r="AB37" s="201"/>
      <c r="AC37" s="201"/>
      <c r="AD37" s="202"/>
      <c r="AE37" s="202"/>
      <c r="AF37" s="201"/>
      <c r="AG37" s="202"/>
      <c r="AH37" s="201"/>
      <c r="AI37" s="201"/>
      <c r="AJ37" s="202"/>
      <c r="AK37" s="202"/>
      <c r="AL37" s="202"/>
      <c r="AM37" s="201"/>
      <c r="AN37" s="201"/>
      <c r="AO37" s="203"/>
      <c r="AP37" s="201"/>
      <c r="AQ37" s="201"/>
      <c r="AR37" s="202"/>
      <c r="AS37" s="201"/>
      <c r="AT37" s="201"/>
      <c r="AU37" s="202"/>
      <c r="AV37" s="203"/>
      <c r="AW37" s="201"/>
      <c r="AX37" s="201"/>
      <c r="AY37" s="202"/>
      <c r="AZ37" s="202"/>
      <c r="BA37" s="202"/>
      <c r="BB37" s="201"/>
      <c r="BC37" s="203"/>
      <c r="BD37" s="282">
        <v>70000</v>
      </c>
      <c r="BE37" s="284">
        <v>46008</v>
      </c>
      <c r="BF37" s="284">
        <v>46017</v>
      </c>
      <c r="BG37" s="287">
        <v>0.6785714285714286</v>
      </c>
      <c r="BH37" s="270" t="s">
        <v>115</v>
      </c>
      <c r="BI37" s="271"/>
      <c r="BJ37" s="288">
        <v>22.426912867600329</v>
      </c>
      <c r="BK37" s="288">
        <v>12.95286875665194</v>
      </c>
      <c r="BL37" s="288">
        <v>4.4598890001471956</v>
      </c>
      <c r="BM37" s="288">
        <v>3.8314839024885301</v>
      </c>
      <c r="BN37" s="288">
        <v>0.49918857013279438</v>
      </c>
      <c r="BO37" s="288">
        <v>0.4586135623459216</v>
      </c>
      <c r="BP37" s="289">
        <v>6176.5731701411332</v>
      </c>
      <c r="BQ37" s="289">
        <v>5544.4294223292154</v>
      </c>
      <c r="BR37" s="289">
        <v>5214.8826344928493</v>
      </c>
      <c r="BS37" s="239"/>
      <c r="BT37" s="210"/>
      <c r="BU37" s="211"/>
      <c r="BV37" s="211"/>
      <c r="BW37" s="211"/>
      <c r="BX37" s="211"/>
      <c r="BY37" s="211"/>
      <c r="BZ37" s="212"/>
      <c r="CA37" s="213"/>
      <c r="CB37" s="211"/>
      <c r="CC37" s="211"/>
      <c r="CD37" s="211"/>
      <c r="CE37" s="211"/>
      <c r="CF37" s="211"/>
      <c r="CG37" s="214"/>
      <c r="CH37" s="211"/>
      <c r="CI37" s="211"/>
      <c r="CJ37" s="211"/>
      <c r="CK37" s="211"/>
    </row>
    <row r="38" spans="1:89">
      <c r="A38" s="265">
        <v>35</v>
      </c>
      <c r="B38" s="269">
        <v>12</v>
      </c>
      <c r="C38" s="268">
        <v>45992</v>
      </c>
      <c r="D38" s="274" t="s">
        <v>133</v>
      </c>
      <c r="E38" s="197" t="s">
        <v>98</v>
      </c>
      <c r="F38" s="276" t="s">
        <v>156</v>
      </c>
      <c r="G38" s="276" t="s">
        <v>237</v>
      </c>
      <c r="H38" s="278" t="s">
        <v>398</v>
      </c>
      <c r="I38" s="278" t="s">
        <v>197</v>
      </c>
      <c r="J38" s="280">
        <v>46010</v>
      </c>
      <c r="K38" s="280">
        <v>46012.5</v>
      </c>
      <c r="L38" s="280">
        <v>46015.5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2"/>
      <c r="AA38" s="201"/>
      <c r="AB38" s="201"/>
      <c r="AC38" s="201"/>
      <c r="AD38" s="202"/>
      <c r="AE38" s="202"/>
      <c r="AF38" s="201"/>
      <c r="AG38" s="202"/>
      <c r="AH38" s="201"/>
      <c r="AI38" s="201"/>
      <c r="AJ38" s="202"/>
      <c r="AK38" s="202"/>
      <c r="AL38" s="202"/>
      <c r="AM38" s="201"/>
      <c r="AN38" s="201"/>
      <c r="AO38" s="203"/>
      <c r="AP38" s="201"/>
      <c r="AQ38" s="201"/>
      <c r="AR38" s="202"/>
      <c r="AS38" s="201"/>
      <c r="AT38" s="201"/>
      <c r="AU38" s="202"/>
      <c r="AV38" s="203"/>
      <c r="AW38" s="201"/>
      <c r="AX38" s="201"/>
      <c r="AY38" s="202"/>
      <c r="AZ38" s="202"/>
      <c r="BA38" s="202"/>
      <c r="BB38" s="201"/>
      <c r="BC38" s="203"/>
      <c r="BD38" s="282">
        <v>75000</v>
      </c>
      <c r="BE38" s="284">
        <v>46010</v>
      </c>
      <c r="BF38" s="284">
        <v>46019</v>
      </c>
      <c r="BG38" s="287">
        <v>0.7</v>
      </c>
      <c r="BH38" s="270" t="s">
        <v>115</v>
      </c>
      <c r="BI38" s="271"/>
      <c r="BJ38" s="288">
        <v>21.949576136912281</v>
      </c>
      <c r="BK38" s="288">
        <v>13.55761914774315</v>
      </c>
      <c r="BL38" s="288">
        <v>4.807391281946666</v>
      </c>
      <c r="BM38" s="288">
        <v>4.2661489401319983</v>
      </c>
      <c r="BN38" s="288">
        <v>0.7655076097054957</v>
      </c>
      <c r="BO38" s="288">
        <v>0.71815957506787098</v>
      </c>
      <c r="BP38" s="289">
        <v>6038.1922690009533</v>
      </c>
      <c r="BQ38" s="289">
        <v>5483.6124021130836</v>
      </c>
      <c r="BR38" s="289">
        <v>5155.9940509846519</v>
      </c>
      <c r="BS38" s="239"/>
      <c r="BT38" s="210"/>
      <c r="BU38" s="211"/>
      <c r="BV38" s="211"/>
      <c r="BW38" s="211"/>
      <c r="BX38" s="211"/>
      <c r="BY38" s="211"/>
      <c r="BZ38" s="212"/>
      <c r="CA38" s="213"/>
      <c r="CB38" s="211"/>
      <c r="CC38" s="211"/>
      <c r="CD38" s="211"/>
      <c r="CE38" s="211"/>
      <c r="CF38" s="211"/>
      <c r="CG38" s="214"/>
      <c r="CH38" s="211"/>
      <c r="CI38" s="211"/>
      <c r="CJ38" s="211"/>
      <c r="CK38" s="211"/>
    </row>
    <row r="39" spans="1:89">
      <c r="A39" s="265">
        <v>36</v>
      </c>
      <c r="B39" s="196">
        <v>13</v>
      </c>
      <c r="C39" s="268">
        <v>45992</v>
      </c>
      <c r="D39" s="274" t="s">
        <v>148</v>
      </c>
      <c r="E39" s="197" t="s">
        <v>98</v>
      </c>
      <c r="F39" s="276" t="s">
        <v>141</v>
      </c>
      <c r="G39" s="276" t="s">
        <v>304</v>
      </c>
      <c r="H39" s="278" t="s">
        <v>305</v>
      </c>
      <c r="I39" s="278" t="s">
        <v>197</v>
      </c>
      <c r="J39" s="280">
        <v>46011</v>
      </c>
      <c r="K39" s="280">
        <v>46013.5</v>
      </c>
      <c r="L39" s="280">
        <v>46015.7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2"/>
      <c r="AA39" s="201"/>
      <c r="AB39" s="201"/>
      <c r="AC39" s="201"/>
      <c r="AD39" s="202"/>
      <c r="AE39" s="202"/>
      <c r="AF39" s="201"/>
      <c r="AG39" s="202"/>
      <c r="AH39" s="201"/>
      <c r="AI39" s="201"/>
      <c r="AJ39" s="202"/>
      <c r="AK39" s="202"/>
      <c r="AL39" s="202"/>
      <c r="AM39" s="201"/>
      <c r="AN39" s="201"/>
      <c r="AO39" s="203"/>
      <c r="AP39" s="201"/>
      <c r="AQ39" s="201"/>
      <c r="AR39" s="202"/>
      <c r="AS39" s="201"/>
      <c r="AT39" s="201"/>
      <c r="AU39" s="202"/>
      <c r="AV39" s="203"/>
      <c r="AW39" s="201"/>
      <c r="AX39" s="201"/>
      <c r="AY39" s="202"/>
      <c r="AZ39" s="202"/>
      <c r="BA39" s="202"/>
      <c r="BB39" s="201"/>
      <c r="BC39" s="203"/>
      <c r="BD39" s="282">
        <v>55000</v>
      </c>
      <c r="BE39" s="284">
        <v>46011</v>
      </c>
      <c r="BF39" s="284">
        <v>46020</v>
      </c>
      <c r="BG39" s="287">
        <v>0.86363636363636365</v>
      </c>
      <c r="BH39" s="270" t="s">
        <v>115</v>
      </c>
      <c r="BI39" s="271"/>
      <c r="BJ39" s="288">
        <v>13.601366706762301</v>
      </c>
      <c r="BK39" s="288">
        <v>7.5123481952884683</v>
      </c>
      <c r="BL39" s="288">
        <v>5.7254720276106594</v>
      </c>
      <c r="BM39" s="288">
        <v>5.3391946286921721</v>
      </c>
      <c r="BN39" s="288">
        <v>1.1775866929280661</v>
      </c>
      <c r="BO39" s="288">
        <v>1.099159693059083</v>
      </c>
      <c r="BP39" s="289">
        <v>6739.4258777533942</v>
      </c>
      <c r="BQ39" s="289">
        <v>6298.1045649309508</v>
      </c>
      <c r="BR39" s="289">
        <v>5991.0721801910659</v>
      </c>
      <c r="BS39" s="239"/>
      <c r="BT39" s="210"/>
      <c r="BU39" s="211"/>
      <c r="BV39" s="211"/>
      <c r="BW39" s="211"/>
      <c r="BX39" s="211"/>
      <c r="BY39" s="211"/>
      <c r="BZ39" s="212"/>
      <c r="CA39" s="213"/>
      <c r="CB39" s="211"/>
      <c r="CC39" s="211"/>
      <c r="CD39" s="211"/>
      <c r="CE39" s="211"/>
      <c r="CF39" s="211"/>
      <c r="CG39" s="214"/>
      <c r="CH39" s="211"/>
      <c r="CI39" s="211"/>
      <c r="CJ39" s="211"/>
      <c r="CK39" s="211"/>
    </row>
    <row r="40" spans="1:89">
      <c r="A40" s="272">
        <v>37</v>
      </c>
      <c r="B40" s="196">
        <v>14</v>
      </c>
      <c r="C40" s="267">
        <v>45992</v>
      </c>
      <c r="D40" s="274" t="s">
        <v>133</v>
      </c>
      <c r="E40" s="197" t="s">
        <v>98</v>
      </c>
      <c r="F40" s="276" t="s">
        <v>141</v>
      </c>
      <c r="G40" s="276" t="s">
        <v>248</v>
      </c>
      <c r="H40" s="278" t="s">
        <v>423</v>
      </c>
      <c r="I40" s="278" t="s">
        <v>197</v>
      </c>
      <c r="J40" s="280">
        <v>46012</v>
      </c>
      <c r="K40" s="280">
        <v>46014.5</v>
      </c>
      <c r="L40" s="280">
        <v>46017.5</v>
      </c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63"/>
      <c r="AA40" s="256"/>
      <c r="AB40" s="256"/>
      <c r="AC40" s="256"/>
      <c r="AD40" s="263"/>
      <c r="AE40" s="263"/>
      <c r="AF40" s="256"/>
      <c r="AG40" s="263"/>
      <c r="AH40" s="256"/>
      <c r="AI40" s="256"/>
      <c r="AJ40" s="263"/>
      <c r="AK40" s="263"/>
      <c r="AL40" s="263"/>
      <c r="AM40" s="256"/>
      <c r="AN40" s="256"/>
      <c r="AO40" s="262"/>
      <c r="AP40" s="256"/>
      <c r="AQ40" s="256"/>
      <c r="AR40" s="263"/>
      <c r="AS40" s="256"/>
      <c r="AT40" s="256"/>
      <c r="AU40" s="263"/>
      <c r="AV40" s="262"/>
      <c r="AW40" s="256"/>
      <c r="AX40" s="256"/>
      <c r="AY40" s="263"/>
      <c r="AZ40" s="263"/>
      <c r="BA40" s="263"/>
      <c r="BB40" s="256"/>
      <c r="BC40" s="262"/>
      <c r="BD40" s="282">
        <v>75000</v>
      </c>
      <c r="BE40" s="284">
        <v>46012</v>
      </c>
      <c r="BF40" s="284">
        <v>46021</v>
      </c>
      <c r="BG40" s="287">
        <v>0.72933333333333328</v>
      </c>
      <c r="BH40" s="270" t="s">
        <v>115</v>
      </c>
      <c r="BI40" s="271"/>
      <c r="BJ40" s="288">
        <v>19.867792314434549</v>
      </c>
      <c r="BK40" s="288">
        <v>12.561853894640951</v>
      </c>
      <c r="BL40" s="288">
        <v>4.6568936424253824</v>
      </c>
      <c r="BM40" s="288">
        <v>4.1790459791617636</v>
      </c>
      <c r="BN40" s="288">
        <v>0.76012676263368728</v>
      </c>
      <c r="BO40" s="288">
        <v>0.70283919224280234</v>
      </c>
      <c r="BP40" s="289">
        <v>6225.0701829705285</v>
      </c>
      <c r="BQ40" s="289">
        <v>5726.7120205324736</v>
      </c>
      <c r="BR40" s="289">
        <v>5404.2847602573474</v>
      </c>
      <c r="BS40" s="261"/>
      <c r="BT40" s="260"/>
      <c r="BU40" s="264"/>
      <c r="BV40" s="264"/>
      <c r="BW40" s="264"/>
      <c r="BX40" s="264"/>
      <c r="BY40" s="264"/>
      <c r="BZ40" s="259"/>
      <c r="CA40" s="258"/>
      <c r="CB40" s="264"/>
      <c r="CC40" s="264"/>
      <c r="CD40" s="264"/>
      <c r="CE40" s="264"/>
      <c r="CF40" s="264"/>
      <c r="CG40" s="257"/>
      <c r="CH40" s="264"/>
      <c r="CI40" s="264"/>
      <c r="CJ40" s="264"/>
      <c r="CK40" s="264"/>
    </row>
    <row r="41" spans="1:89">
      <c r="A41" s="272">
        <v>38</v>
      </c>
      <c r="B41" s="196">
        <v>15</v>
      </c>
      <c r="C41" s="268">
        <v>45992</v>
      </c>
      <c r="D41" s="274" t="s">
        <v>133</v>
      </c>
      <c r="E41" s="197" t="s">
        <v>98</v>
      </c>
      <c r="F41" s="276" t="s">
        <v>141</v>
      </c>
      <c r="G41" s="276" t="s">
        <v>345</v>
      </c>
      <c r="H41" s="278" t="s">
        <v>400</v>
      </c>
      <c r="I41" s="278" t="s">
        <v>197</v>
      </c>
      <c r="J41" s="280">
        <v>46013</v>
      </c>
      <c r="K41" s="280">
        <v>46015.5</v>
      </c>
      <c r="L41" s="280">
        <v>46018.5</v>
      </c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63"/>
      <c r="AA41" s="256"/>
      <c r="AB41" s="256"/>
      <c r="AC41" s="256"/>
      <c r="AD41" s="263"/>
      <c r="AE41" s="263"/>
      <c r="AF41" s="256"/>
      <c r="AG41" s="263"/>
      <c r="AH41" s="256"/>
      <c r="AI41" s="256"/>
      <c r="AJ41" s="263"/>
      <c r="AK41" s="263"/>
      <c r="AL41" s="263"/>
      <c r="AM41" s="256"/>
      <c r="AN41" s="256"/>
      <c r="AO41" s="262"/>
      <c r="AP41" s="256"/>
      <c r="AQ41" s="256"/>
      <c r="AR41" s="263"/>
      <c r="AS41" s="256"/>
      <c r="AT41" s="256"/>
      <c r="AU41" s="263"/>
      <c r="AV41" s="262"/>
      <c r="AW41" s="256"/>
      <c r="AX41" s="256"/>
      <c r="AY41" s="263"/>
      <c r="AZ41" s="263"/>
      <c r="BA41" s="263"/>
      <c r="BB41" s="256"/>
      <c r="BC41" s="262"/>
      <c r="BD41" s="282">
        <v>75000</v>
      </c>
      <c r="BE41" s="284">
        <v>46013</v>
      </c>
      <c r="BF41" s="284">
        <v>46022</v>
      </c>
      <c r="BG41" s="287">
        <v>0.7</v>
      </c>
      <c r="BH41" s="270" t="s">
        <v>115</v>
      </c>
      <c r="BI41" s="271"/>
      <c r="BJ41" s="288">
        <v>15.643361399118829</v>
      </c>
      <c r="BK41" s="288">
        <v>10.08897389960957</v>
      </c>
      <c r="BL41" s="288">
        <v>3.9278663503025042</v>
      </c>
      <c r="BM41" s="288">
        <v>3.6590442438297228</v>
      </c>
      <c r="BN41" s="288">
        <v>0.64097527570541279</v>
      </c>
      <c r="BO41" s="288">
        <v>0.60253092153563392</v>
      </c>
      <c r="BP41" s="289">
        <v>6544.4183542618248</v>
      </c>
      <c r="BQ41" s="289">
        <v>6147.7031708818176</v>
      </c>
      <c r="BR41" s="289">
        <v>5834.3933483596684</v>
      </c>
      <c r="BS41" s="261"/>
      <c r="BT41" s="260"/>
      <c r="BU41" s="264"/>
      <c r="BV41" s="264"/>
      <c r="BW41" s="264"/>
      <c r="BX41" s="264"/>
      <c r="BY41" s="264"/>
      <c r="BZ41" s="259"/>
      <c r="CA41" s="258"/>
      <c r="CB41" s="264"/>
      <c r="CC41" s="264"/>
      <c r="CD41" s="264"/>
      <c r="CE41" s="264"/>
      <c r="CF41" s="264"/>
      <c r="CG41" s="257"/>
      <c r="CH41" s="264"/>
      <c r="CI41" s="264"/>
      <c r="CJ41" s="264"/>
      <c r="CK41" s="264"/>
    </row>
    <row r="42" spans="1:89">
      <c r="A42" s="273">
        <v>39</v>
      </c>
      <c r="B42" s="196">
        <v>16</v>
      </c>
      <c r="C42" s="267">
        <v>45992</v>
      </c>
      <c r="D42" s="274" t="s">
        <v>133</v>
      </c>
      <c r="E42" s="197" t="s">
        <v>98</v>
      </c>
      <c r="F42" s="276" t="s">
        <v>156</v>
      </c>
      <c r="G42" s="276" t="s">
        <v>401</v>
      </c>
      <c r="H42" s="278" t="s">
        <v>402</v>
      </c>
      <c r="I42" s="278" t="s">
        <v>197</v>
      </c>
      <c r="J42" s="280">
        <v>46015</v>
      </c>
      <c r="K42" s="280">
        <v>46017.5</v>
      </c>
      <c r="L42" s="280">
        <v>46020.5</v>
      </c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63"/>
      <c r="AA42" s="256"/>
      <c r="AB42" s="256"/>
      <c r="AC42" s="256"/>
      <c r="AD42" s="263"/>
      <c r="AE42" s="263"/>
      <c r="AF42" s="256"/>
      <c r="AG42" s="263"/>
      <c r="AH42" s="256"/>
      <c r="AI42" s="256"/>
      <c r="AJ42" s="263"/>
      <c r="AK42" s="263"/>
      <c r="AL42" s="263"/>
      <c r="AM42" s="256"/>
      <c r="AN42" s="256"/>
      <c r="AO42" s="262"/>
      <c r="AP42" s="256"/>
      <c r="AQ42" s="256"/>
      <c r="AR42" s="263"/>
      <c r="AS42" s="256"/>
      <c r="AT42" s="256"/>
      <c r="AU42" s="263"/>
      <c r="AV42" s="262"/>
      <c r="AW42" s="256"/>
      <c r="AX42" s="256"/>
      <c r="AY42" s="263"/>
      <c r="AZ42" s="263"/>
      <c r="BA42" s="263"/>
      <c r="BB42" s="256"/>
      <c r="BC42" s="262"/>
      <c r="BD42" s="282">
        <v>75000</v>
      </c>
      <c r="BE42" s="284">
        <v>46015</v>
      </c>
      <c r="BF42" s="284">
        <v>46024</v>
      </c>
      <c r="BG42" s="287">
        <v>0.72933333333333328</v>
      </c>
      <c r="BH42" s="270" t="s">
        <v>115</v>
      </c>
      <c r="BI42" s="271"/>
      <c r="BJ42" s="288">
        <v>15.93501591834128</v>
      </c>
      <c r="BK42" s="288">
        <v>10.226083327439451</v>
      </c>
      <c r="BL42" s="288">
        <v>4.2338949588882988</v>
      </c>
      <c r="BM42" s="288">
        <v>3.9375665271243658</v>
      </c>
      <c r="BN42" s="288">
        <v>0.87500950512795772</v>
      </c>
      <c r="BO42" s="288">
        <v>0.82314492349735113</v>
      </c>
      <c r="BP42" s="289">
        <v>6528.8268723208339</v>
      </c>
      <c r="BQ42" s="289">
        <v>6120.9045887050743</v>
      </c>
      <c r="BR42" s="289">
        <v>5807.335249792618</v>
      </c>
      <c r="BS42" s="261"/>
      <c r="BT42" s="260"/>
      <c r="BU42" s="264"/>
      <c r="BV42" s="264"/>
      <c r="BW42" s="264"/>
      <c r="BX42" s="264"/>
      <c r="BY42" s="264"/>
      <c r="BZ42" s="259"/>
      <c r="CA42" s="258"/>
      <c r="CB42" s="264"/>
      <c r="CC42" s="264"/>
      <c r="CD42" s="264"/>
      <c r="CE42" s="264"/>
      <c r="CF42" s="264"/>
      <c r="CG42" s="257"/>
      <c r="CH42" s="264"/>
      <c r="CI42" s="264"/>
      <c r="CJ42" s="264"/>
      <c r="CK42" s="264"/>
    </row>
    <row r="43" spans="1:89">
      <c r="A43" s="273">
        <v>40</v>
      </c>
      <c r="B43" s="196">
        <v>17</v>
      </c>
      <c r="C43" s="267">
        <v>45992</v>
      </c>
      <c r="D43" s="274" t="s">
        <v>133</v>
      </c>
      <c r="E43" s="197" t="s">
        <v>98</v>
      </c>
      <c r="F43" s="276" t="s">
        <v>156</v>
      </c>
      <c r="G43" s="276" t="s">
        <v>301</v>
      </c>
      <c r="H43" s="278" t="s">
        <v>403</v>
      </c>
      <c r="I43" s="278" t="s">
        <v>197</v>
      </c>
      <c r="J43" s="280">
        <v>46017</v>
      </c>
      <c r="K43" s="280">
        <v>46019.5</v>
      </c>
      <c r="L43" s="280">
        <v>46022.3</v>
      </c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63"/>
      <c r="AA43" s="256"/>
      <c r="AB43" s="256"/>
      <c r="AC43" s="256"/>
      <c r="AD43" s="263"/>
      <c r="AE43" s="263"/>
      <c r="AF43" s="256"/>
      <c r="AG43" s="263"/>
      <c r="AH43" s="256"/>
      <c r="AI43" s="256"/>
      <c r="AJ43" s="263"/>
      <c r="AK43" s="263"/>
      <c r="AL43" s="263"/>
      <c r="AM43" s="256"/>
      <c r="AN43" s="256"/>
      <c r="AO43" s="262"/>
      <c r="AP43" s="256"/>
      <c r="AQ43" s="256"/>
      <c r="AR43" s="263"/>
      <c r="AS43" s="256"/>
      <c r="AT43" s="256"/>
      <c r="AU43" s="263"/>
      <c r="AV43" s="262"/>
      <c r="AW43" s="256"/>
      <c r="AX43" s="256"/>
      <c r="AY43" s="263"/>
      <c r="AZ43" s="263"/>
      <c r="BA43" s="263"/>
      <c r="BB43" s="256"/>
      <c r="BC43" s="262"/>
      <c r="BD43" s="282">
        <v>70000</v>
      </c>
      <c r="BE43" s="284">
        <v>46017</v>
      </c>
      <c r="BF43" s="284">
        <v>46026</v>
      </c>
      <c r="BG43" s="287">
        <v>0.7857142857142857</v>
      </c>
      <c r="BH43" s="270" t="s">
        <v>115</v>
      </c>
      <c r="BI43" s="271"/>
      <c r="BJ43" s="288">
        <v>14.20478373696729</v>
      </c>
      <c r="BK43" s="288">
        <v>9.5791107114672691</v>
      </c>
      <c r="BL43" s="288">
        <v>3.7361327370271411</v>
      </c>
      <c r="BM43" s="288">
        <v>3.5382938510450841</v>
      </c>
      <c r="BN43" s="288">
        <v>0.59795390528822023</v>
      </c>
      <c r="BO43" s="288">
        <v>0.56929104488935678</v>
      </c>
      <c r="BP43" s="289">
        <v>6698.8783536156452</v>
      </c>
      <c r="BQ43" s="289">
        <v>6357.014121020592</v>
      </c>
      <c r="BR43" s="289">
        <v>6052.949470306974</v>
      </c>
      <c r="BS43" s="261"/>
      <c r="BT43" s="260"/>
      <c r="BU43" s="264"/>
      <c r="BV43" s="264"/>
      <c r="BW43" s="264"/>
      <c r="BX43" s="264"/>
      <c r="BY43" s="264"/>
      <c r="BZ43" s="259"/>
      <c r="CA43" s="258"/>
      <c r="CB43" s="264"/>
      <c r="CC43" s="264"/>
      <c r="CD43" s="264"/>
      <c r="CE43" s="264"/>
      <c r="CF43" s="264"/>
      <c r="CG43" s="257"/>
      <c r="CH43" s="264"/>
      <c r="CI43" s="264"/>
      <c r="CJ43" s="264"/>
      <c r="CK43" s="264"/>
    </row>
    <row r="44" spans="1:89">
      <c r="A44" s="273">
        <v>41</v>
      </c>
      <c r="B44" s="196">
        <v>18</v>
      </c>
      <c r="C44" s="267">
        <v>45992</v>
      </c>
      <c r="D44" s="274" t="s">
        <v>148</v>
      </c>
      <c r="E44" s="197" t="s">
        <v>98</v>
      </c>
      <c r="F44" s="276" t="s">
        <v>156</v>
      </c>
      <c r="G44" s="276" t="s">
        <v>304</v>
      </c>
      <c r="H44" s="278" t="s">
        <v>424</v>
      </c>
      <c r="I44" s="278" t="s">
        <v>197</v>
      </c>
      <c r="J44" s="280">
        <v>46017</v>
      </c>
      <c r="K44" s="280">
        <v>46020.5</v>
      </c>
      <c r="L44" s="280">
        <v>46022.7</v>
      </c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63"/>
      <c r="AA44" s="256"/>
      <c r="AB44" s="256"/>
      <c r="AC44" s="256"/>
      <c r="AD44" s="263"/>
      <c r="AE44" s="263"/>
      <c r="AF44" s="256"/>
      <c r="AG44" s="263"/>
      <c r="AH44" s="256"/>
      <c r="AI44" s="256"/>
      <c r="AJ44" s="263"/>
      <c r="AK44" s="263"/>
      <c r="AL44" s="263"/>
      <c r="AM44" s="256"/>
      <c r="AN44" s="256"/>
      <c r="AO44" s="262"/>
      <c r="AP44" s="256"/>
      <c r="AQ44" s="256"/>
      <c r="AR44" s="263"/>
      <c r="AS44" s="256"/>
      <c r="AT44" s="256"/>
      <c r="AU44" s="263"/>
      <c r="AV44" s="262"/>
      <c r="AW44" s="256"/>
      <c r="AX44" s="256"/>
      <c r="AY44" s="263"/>
      <c r="AZ44" s="263"/>
      <c r="BA44" s="263"/>
      <c r="BB44" s="256"/>
      <c r="BC44" s="262"/>
      <c r="BD44" s="282">
        <v>55000</v>
      </c>
      <c r="BE44" s="284">
        <v>46017</v>
      </c>
      <c r="BF44" s="284">
        <v>46026</v>
      </c>
      <c r="BG44" s="287">
        <v>0.86363636363636365</v>
      </c>
      <c r="BH44" s="270" t="s">
        <v>115</v>
      </c>
      <c r="BI44" s="271"/>
      <c r="BJ44" s="288">
        <v>13.601366706762301</v>
      </c>
      <c r="BK44" s="288">
        <v>7.5123481952884683</v>
      </c>
      <c r="BL44" s="288">
        <v>5.7254720276106594</v>
      </c>
      <c r="BM44" s="288">
        <v>5.3391946286921721</v>
      </c>
      <c r="BN44" s="288">
        <v>1.1775866929280661</v>
      </c>
      <c r="BO44" s="288">
        <v>1.099159693059083</v>
      </c>
      <c r="BP44" s="289">
        <v>6739.4258777533942</v>
      </c>
      <c r="BQ44" s="289">
        <v>6298.1045649309508</v>
      </c>
      <c r="BR44" s="289">
        <v>5991.0721801910659</v>
      </c>
      <c r="BS44" s="261"/>
      <c r="BT44" s="260"/>
      <c r="BU44" s="264"/>
      <c r="BV44" s="264"/>
      <c r="BW44" s="264"/>
      <c r="BX44" s="264"/>
      <c r="BY44" s="264"/>
      <c r="BZ44" s="259"/>
      <c r="CA44" s="258"/>
      <c r="CB44" s="264"/>
      <c r="CC44" s="264"/>
      <c r="CD44" s="264"/>
      <c r="CE44" s="264"/>
      <c r="CF44" s="264"/>
      <c r="CG44" s="257"/>
      <c r="CH44" s="264"/>
      <c r="CI44" s="264"/>
      <c r="CJ44" s="264"/>
      <c r="CK44" s="264"/>
    </row>
    <row r="45" spans="1:89">
      <c r="A45" s="273">
        <v>42</v>
      </c>
      <c r="B45" s="196">
        <v>19</v>
      </c>
      <c r="C45" s="268">
        <v>45992</v>
      </c>
      <c r="D45" s="274" t="s">
        <v>148</v>
      </c>
      <c r="E45" s="15" t="s">
        <v>179</v>
      </c>
      <c r="F45" s="276" t="s">
        <v>186</v>
      </c>
      <c r="G45" s="276" t="s">
        <v>406</v>
      </c>
      <c r="H45" s="278" t="s">
        <v>407</v>
      </c>
      <c r="I45" s="278" t="s">
        <v>408</v>
      </c>
      <c r="J45" s="280">
        <v>46017</v>
      </c>
      <c r="K45" s="280">
        <v>46018.5</v>
      </c>
      <c r="L45" s="280">
        <v>46018.8</v>
      </c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63"/>
      <c r="AA45" s="256"/>
      <c r="AB45" s="256"/>
      <c r="AC45" s="256"/>
      <c r="AD45" s="263"/>
      <c r="AE45" s="263"/>
      <c r="AF45" s="256"/>
      <c r="AG45" s="263"/>
      <c r="AH45" s="256"/>
      <c r="AI45" s="256"/>
      <c r="AJ45" s="263"/>
      <c r="AK45" s="263"/>
      <c r="AL45" s="263"/>
      <c r="AM45" s="256"/>
      <c r="AN45" s="256"/>
      <c r="AO45" s="262"/>
      <c r="AP45" s="256"/>
      <c r="AQ45" s="256"/>
      <c r="AR45" s="263"/>
      <c r="AS45" s="256"/>
      <c r="AT45" s="256"/>
      <c r="AU45" s="263"/>
      <c r="AV45" s="262"/>
      <c r="AW45" s="256"/>
      <c r="AX45" s="256"/>
      <c r="AY45" s="263"/>
      <c r="AZ45" s="263"/>
      <c r="BA45" s="263"/>
      <c r="BB45" s="256"/>
      <c r="BC45" s="262"/>
      <c r="BD45" s="282">
        <v>7500</v>
      </c>
      <c r="BE45" s="283"/>
      <c r="BF45" s="283"/>
      <c r="BG45" s="287">
        <v>1</v>
      </c>
      <c r="BH45" s="270" t="s">
        <v>115</v>
      </c>
      <c r="BI45" s="271"/>
      <c r="BJ45" s="288">
        <v>11.92846848719905</v>
      </c>
      <c r="BK45" s="288">
        <v>6.4288910352221356</v>
      </c>
      <c r="BL45" s="288">
        <v>5.7046502609789158</v>
      </c>
      <c r="BM45" s="288">
        <v>5.3642607950539869</v>
      </c>
      <c r="BN45" s="288">
        <v>1.230824315346027</v>
      </c>
      <c r="BO45" s="288">
        <v>1.155627739816488</v>
      </c>
      <c r="BP45" s="289">
        <v>6859.2476103621129</v>
      </c>
      <c r="BQ45" s="289">
        <v>6456.485485290872</v>
      </c>
      <c r="BR45" s="289">
        <v>6153.8991424323794</v>
      </c>
      <c r="BS45" s="261"/>
      <c r="BT45" s="260"/>
      <c r="BU45" s="264"/>
      <c r="BV45" s="264"/>
      <c r="BW45" s="264"/>
      <c r="BX45" s="264"/>
      <c r="BY45" s="264"/>
      <c r="BZ45" s="259"/>
      <c r="CA45" s="258"/>
      <c r="CB45" s="264"/>
      <c r="CC45" s="264"/>
      <c r="CD45" s="264"/>
      <c r="CE45" s="264"/>
      <c r="CF45" s="264"/>
      <c r="CG45" s="257"/>
      <c r="CH45" s="264"/>
      <c r="CI45" s="264"/>
      <c r="CJ45" s="264"/>
      <c r="CK45" s="264"/>
    </row>
    <row r="46" spans="1:89">
      <c r="A46" s="273">
        <v>43</v>
      </c>
      <c r="B46" s="196">
        <v>20</v>
      </c>
      <c r="C46" s="267">
        <v>45992</v>
      </c>
      <c r="D46" s="274" t="s">
        <v>25</v>
      </c>
      <c r="E46" s="15" t="s">
        <v>179</v>
      </c>
      <c r="F46" s="276" t="s">
        <v>186</v>
      </c>
      <c r="G46" s="276" t="s">
        <v>363</v>
      </c>
      <c r="H46" s="278" t="s">
        <v>409</v>
      </c>
      <c r="I46" s="278" t="s">
        <v>425</v>
      </c>
      <c r="J46" s="280">
        <v>45999</v>
      </c>
      <c r="K46" s="280">
        <v>46000.5</v>
      </c>
      <c r="L46" s="280">
        <v>46001.542857141198</v>
      </c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63"/>
      <c r="AA46" s="256"/>
      <c r="AB46" s="256"/>
      <c r="AC46" s="256"/>
      <c r="AD46" s="263"/>
      <c r="AE46" s="263"/>
      <c r="AF46" s="256"/>
      <c r="AG46" s="263"/>
      <c r="AH46" s="256"/>
      <c r="AI46" s="256"/>
      <c r="AJ46" s="263"/>
      <c r="AK46" s="263"/>
      <c r="AL46" s="263"/>
      <c r="AM46" s="256"/>
      <c r="AN46" s="256"/>
      <c r="AO46" s="262"/>
      <c r="AP46" s="256"/>
      <c r="AQ46" s="256"/>
      <c r="AR46" s="263"/>
      <c r="AS46" s="256"/>
      <c r="AT46" s="256"/>
      <c r="AU46" s="263"/>
      <c r="AV46" s="262"/>
      <c r="AW46" s="256"/>
      <c r="AX46" s="256"/>
      <c r="AY46" s="263"/>
      <c r="AZ46" s="263"/>
      <c r="BA46" s="263"/>
      <c r="BB46" s="256"/>
      <c r="BC46" s="262"/>
      <c r="BD46" s="282">
        <v>7300</v>
      </c>
      <c r="BE46" s="283"/>
      <c r="BF46" s="283"/>
      <c r="BG46" s="287">
        <v>1</v>
      </c>
      <c r="BH46" s="270" t="s">
        <v>115</v>
      </c>
      <c r="BI46" s="271"/>
      <c r="BJ46" s="288">
        <v>30.285224747159951</v>
      </c>
      <c r="BK46" s="288">
        <v>16.447043247592081</v>
      </c>
      <c r="BL46" s="288">
        <v>4.0192421663145712</v>
      </c>
      <c r="BM46" s="288">
        <v>3.3535685055607951</v>
      </c>
      <c r="BN46" s="288">
        <v>0.41274916180156351</v>
      </c>
      <c r="BO46" s="288">
        <v>0.34438895006507181</v>
      </c>
      <c r="BP46" s="289">
        <v>5347.6328510188023</v>
      </c>
      <c r="BQ46" s="289">
        <v>4461.9488864795449</v>
      </c>
      <c r="BR46" s="289">
        <v>4102.299359269522</v>
      </c>
      <c r="BS46" s="261"/>
      <c r="BT46" s="260"/>
      <c r="BU46" s="264"/>
      <c r="BV46" s="264"/>
      <c r="BW46" s="264"/>
      <c r="BX46" s="264"/>
      <c r="BY46" s="264"/>
      <c r="BZ46" s="259"/>
      <c r="CA46" s="258"/>
      <c r="CB46" s="264"/>
      <c r="CC46" s="264"/>
      <c r="CD46" s="264"/>
      <c r="CE46" s="264"/>
      <c r="CF46" s="264"/>
      <c r="CG46" s="257"/>
      <c r="CH46" s="264"/>
      <c r="CI46" s="264"/>
      <c r="CJ46" s="264"/>
      <c r="CK46" s="264"/>
    </row>
    <row r="47" spans="1:89">
      <c r="A47" s="273">
        <v>44</v>
      </c>
      <c r="B47" s="196">
        <v>21</v>
      </c>
      <c r="C47" s="268">
        <v>45992</v>
      </c>
      <c r="D47" s="274" t="s">
        <v>25</v>
      </c>
      <c r="E47" s="15" t="s">
        <v>179</v>
      </c>
      <c r="F47" s="276" t="s">
        <v>186</v>
      </c>
      <c r="G47" s="276" t="s">
        <v>363</v>
      </c>
      <c r="H47" s="278" t="s">
        <v>410</v>
      </c>
      <c r="I47" s="278" t="s">
        <v>425</v>
      </c>
      <c r="J47" s="280">
        <v>46003</v>
      </c>
      <c r="K47" s="280">
        <v>46004.5</v>
      </c>
      <c r="L47" s="280">
        <v>46005.542857141198</v>
      </c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63"/>
      <c r="AA47" s="256"/>
      <c r="AB47" s="256"/>
      <c r="AC47" s="256"/>
      <c r="AD47" s="263"/>
      <c r="AE47" s="263"/>
      <c r="AF47" s="256"/>
      <c r="AG47" s="263"/>
      <c r="AH47" s="256"/>
      <c r="AI47" s="256"/>
      <c r="AJ47" s="263"/>
      <c r="AK47" s="263"/>
      <c r="AL47" s="263"/>
      <c r="AM47" s="256"/>
      <c r="AN47" s="256"/>
      <c r="AO47" s="262"/>
      <c r="AP47" s="256"/>
      <c r="AQ47" s="256"/>
      <c r="AR47" s="263"/>
      <c r="AS47" s="256"/>
      <c r="AT47" s="256"/>
      <c r="AU47" s="263"/>
      <c r="AV47" s="262"/>
      <c r="AW47" s="256"/>
      <c r="AX47" s="256"/>
      <c r="AY47" s="263"/>
      <c r="AZ47" s="263"/>
      <c r="BA47" s="263"/>
      <c r="BB47" s="256"/>
      <c r="BC47" s="262"/>
      <c r="BD47" s="282">
        <v>7300</v>
      </c>
      <c r="BE47" s="283"/>
      <c r="BF47" s="283"/>
      <c r="BG47" s="287">
        <v>1</v>
      </c>
      <c r="BH47" s="270" t="s">
        <v>115</v>
      </c>
      <c r="BI47" s="271"/>
      <c r="BJ47" s="288">
        <v>30.285224747159951</v>
      </c>
      <c r="BK47" s="288">
        <v>16.447043247592081</v>
      </c>
      <c r="BL47" s="288">
        <v>4.0192421663145712</v>
      </c>
      <c r="BM47" s="288">
        <v>3.3535685055607951</v>
      </c>
      <c r="BN47" s="288">
        <v>0.41274916180156351</v>
      </c>
      <c r="BO47" s="288">
        <v>0.34438895006507181</v>
      </c>
      <c r="BP47" s="289">
        <v>5347.6328510188023</v>
      </c>
      <c r="BQ47" s="289">
        <v>4461.9488864795449</v>
      </c>
      <c r="BR47" s="289">
        <v>4102.299359269522</v>
      </c>
      <c r="BS47" s="261"/>
      <c r="BT47" s="260"/>
      <c r="BU47" s="264"/>
      <c r="BV47" s="264"/>
      <c r="BW47" s="264"/>
      <c r="BX47" s="264"/>
      <c r="BY47" s="264"/>
      <c r="BZ47" s="259"/>
      <c r="CA47" s="258"/>
      <c r="CB47" s="264"/>
      <c r="CC47" s="264"/>
      <c r="CD47" s="264"/>
      <c r="CE47" s="264"/>
      <c r="CF47" s="264"/>
      <c r="CG47" s="257"/>
      <c r="CH47" s="264"/>
      <c r="CI47" s="264"/>
      <c r="CJ47" s="264"/>
      <c r="CK47" s="264"/>
    </row>
    <row r="48" spans="1:89">
      <c r="A48" s="273">
        <v>45</v>
      </c>
      <c r="B48" s="196">
        <v>22</v>
      </c>
      <c r="C48" s="267">
        <v>45992</v>
      </c>
      <c r="D48" s="274" t="s">
        <v>25</v>
      </c>
      <c r="E48" s="15" t="s">
        <v>179</v>
      </c>
      <c r="F48" s="276" t="s">
        <v>186</v>
      </c>
      <c r="G48" s="276" t="s">
        <v>363</v>
      </c>
      <c r="H48" s="278" t="s">
        <v>411</v>
      </c>
      <c r="I48" s="278" t="s">
        <v>425</v>
      </c>
      <c r="J48" s="280">
        <v>46011</v>
      </c>
      <c r="K48" s="280">
        <v>46012.5</v>
      </c>
      <c r="L48" s="280">
        <v>46013.542857141198</v>
      </c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63"/>
      <c r="AA48" s="256"/>
      <c r="AB48" s="256"/>
      <c r="AC48" s="256"/>
      <c r="AD48" s="263"/>
      <c r="AE48" s="263"/>
      <c r="AF48" s="256"/>
      <c r="AG48" s="263"/>
      <c r="AH48" s="256"/>
      <c r="AI48" s="256"/>
      <c r="AJ48" s="263"/>
      <c r="AK48" s="263"/>
      <c r="AL48" s="263"/>
      <c r="AM48" s="256"/>
      <c r="AN48" s="256"/>
      <c r="AO48" s="262"/>
      <c r="AP48" s="256"/>
      <c r="AQ48" s="256"/>
      <c r="AR48" s="263"/>
      <c r="AS48" s="256"/>
      <c r="AT48" s="256"/>
      <c r="AU48" s="263"/>
      <c r="AV48" s="262"/>
      <c r="AW48" s="256"/>
      <c r="AX48" s="256"/>
      <c r="AY48" s="263"/>
      <c r="AZ48" s="263"/>
      <c r="BA48" s="263"/>
      <c r="BB48" s="256"/>
      <c r="BC48" s="262"/>
      <c r="BD48" s="282">
        <v>7300</v>
      </c>
      <c r="BE48" s="283"/>
      <c r="BF48" s="283"/>
      <c r="BG48" s="287">
        <v>1</v>
      </c>
      <c r="BH48" s="270" t="s">
        <v>115</v>
      </c>
      <c r="BI48" s="271"/>
      <c r="BJ48" s="288">
        <v>30.285224747159951</v>
      </c>
      <c r="BK48" s="288">
        <v>16.447043247592081</v>
      </c>
      <c r="BL48" s="288">
        <v>4.0192421663145712</v>
      </c>
      <c r="BM48" s="288">
        <v>3.3535685055607951</v>
      </c>
      <c r="BN48" s="288">
        <v>0.41274916180156351</v>
      </c>
      <c r="BO48" s="288">
        <v>0.34438895006507181</v>
      </c>
      <c r="BP48" s="289">
        <v>5347.6328510188023</v>
      </c>
      <c r="BQ48" s="289">
        <v>4461.9488864795449</v>
      </c>
      <c r="BR48" s="289">
        <v>4102.299359269522</v>
      </c>
      <c r="BS48" s="261"/>
      <c r="BT48" s="260"/>
      <c r="BU48" s="264"/>
      <c r="BV48" s="264"/>
      <c r="BW48" s="264"/>
      <c r="BX48" s="264"/>
      <c r="BY48" s="264"/>
      <c r="BZ48" s="259"/>
      <c r="CA48" s="258"/>
      <c r="CB48" s="264"/>
      <c r="CC48" s="264"/>
      <c r="CD48" s="264"/>
      <c r="CE48" s="264"/>
      <c r="CF48" s="264"/>
      <c r="CG48" s="257"/>
      <c r="CH48" s="264"/>
      <c r="CI48" s="264"/>
      <c r="CJ48" s="264"/>
      <c r="CK48" s="264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ITM Summary</vt:lpstr>
      <vt:lpstr>Month 1</vt:lpstr>
      <vt:lpstr>Month 2</vt:lpstr>
      <vt:lpstr>Month 3</vt:lpstr>
      <vt:lpstr>Month 4</vt:lpstr>
      <vt:lpstr>Month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Hermansyah Syah</dc:creator>
  <cp:lastModifiedBy>Hasyim Mu'arifin</cp:lastModifiedBy>
  <dcterms:created xsi:type="dcterms:W3CDTF">2023-11-09T04:23:41Z</dcterms:created>
  <dcterms:modified xsi:type="dcterms:W3CDTF">2025-09-03T07:06:10Z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2023-11-13T01:21:19Z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a5d8de7b-027f-4e70-9a58-782a725545e0</vt:lpwstr>
  </property>
  <property fmtid="{D5CDD505-2E9C-101B-9397-08002B2CF9AE}" pid="8" name="MSIP_Label_38b525e5-f3da-4501-8f1e-526b6769fc56_ContentBits">
    <vt:lpwstr>0</vt:lpwstr>
  </property>
</Properties>
</file>